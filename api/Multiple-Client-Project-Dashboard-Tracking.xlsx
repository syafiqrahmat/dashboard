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autoCompressPictures="0"/>
  <mc:AlternateContent xmlns:mc="http://schemas.openxmlformats.org/markup-compatibility/2006">
    <mc:Choice Requires="x15">
      <x15ac:absPath xmlns:x15ac="http://schemas.microsoft.com/office/spreadsheetml/2010/11/ac" url="D:\Work\Code\Opencodeanalysis\dashboard\api\"/>
    </mc:Choice>
  </mc:AlternateContent>
  <xr:revisionPtr revIDLastSave="0" documentId="13_ncr:1_{B7ABE9D1-8300-4721-B467-E2741CA41B7B}" xr6:coauthVersionLast="47" xr6:coauthVersionMax="47" xr10:uidLastSave="{00000000-0000-0000-0000-000000000000}"/>
  <bookViews>
    <workbookView xWindow="-108" yWindow="-108" windowWidth="23256" windowHeight="12456" tabRatio="298" firstSheet="7" activeTab="7" xr2:uid="{00000000-000D-0000-FFFF-FFFF00000000}"/>
  </bookViews>
  <sheets>
    <sheet name="EXAMPLE Multi Project Dashboard" sheetId="1" r:id="rId1"/>
    <sheet name="– Disclaimer –" sheetId="3" r:id="rId2"/>
    <sheet name="Ticket Issue Client Dashboard" sheetId="4" r:id="rId3"/>
    <sheet name="Client" sheetId="22" r:id="rId4"/>
    <sheet name="Client Project" sheetId="18" r:id="rId5"/>
    <sheet name="ENHANCEMENT LKTN MILESTONE" sheetId="23" r:id="rId6"/>
    <sheet name="MYOT MARA MILESTONE" sheetId="24" r:id="rId7"/>
    <sheet name="SAGA YIK DEV MILESTONE" sheetId="25" r:id="rId8"/>
    <sheet name="SAGA YIK DEV TASK DETAIL" sheetId="26" r:id="rId9"/>
    <sheet name="KUIPS Warranty" sheetId="19" r:id="rId10"/>
    <sheet name="YIPS" sheetId="13" r:id="rId11"/>
    <sheet name="Contract Period" sheetId="21" r:id="rId12"/>
  </sheets>
  <externalReferences>
    <externalReference r:id="rId13"/>
    <externalReference r:id="rId14"/>
  </externalReferences>
  <definedNames>
    <definedName name="_xlnm.Print_Area" localSheetId="0">'EXAMPLE Multi Project Dashboard'!$B$2:$P$55</definedName>
    <definedName name="_xlnm.Print_Area" localSheetId="2">'Ticket Issue Client Dashboard'!$B$1:$S$37</definedName>
    <definedName name="Type" localSheetId="1">'[1]Service Marketing Plan'!#REF!</definedName>
    <definedName name="Type">'[2]Business Meeting Agenda'!#REF!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P80" i="18" l="1" a="1"/>
  <c r="P80" i="18" s="1"/>
  <c r="P70" i="18" a="1"/>
  <c r="P70" i="18" s="1"/>
  <c r="P48" i="18" a="1"/>
  <c r="P48" i="18" s="1"/>
  <c r="P44" i="18"/>
  <c r="P37" i="18" a="1"/>
  <c r="P37" i="18" s="1"/>
  <c r="P21" i="18"/>
  <c r="P8" i="18"/>
  <c r="P91" i="18" a="1"/>
  <c r="P91" i="18" s="1"/>
  <c r="P87" i="18" a="1"/>
  <c r="P87" i="18" s="1"/>
  <c r="P53" i="18"/>
  <c r="P29" i="18"/>
  <c r="P16" i="18"/>
  <c r="P2" i="18"/>
  <c r="P190" i="19" l="1"/>
  <c r="Q190" i="19" s="1"/>
  <c r="Q189" i="19"/>
  <c r="P189" i="19"/>
  <c r="P188" i="19"/>
  <c r="Q188" i="19" s="1"/>
  <c r="P187" i="19"/>
  <c r="Q187" i="19" s="1"/>
  <c r="P186" i="19"/>
  <c r="Q186" i="19" s="1"/>
  <c r="Q185" i="19"/>
  <c r="P185" i="19"/>
  <c r="P184" i="19"/>
  <c r="Q184" i="19" s="1"/>
  <c r="P183" i="19"/>
  <c r="Q183" i="19" s="1"/>
  <c r="P182" i="19"/>
  <c r="Q182" i="19" s="1"/>
  <c r="Q181" i="19"/>
  <c r="P181" i="19"/>
  <c r="P180" i="19"/>
  <c r="Q180" i="19" s="1"/>
  <c r="P179" i="19"/>
  <c r="Q179" i="19" s="1"/>
  <c r="P178" i="19"/>
  <c r="Q178" i="19" s="1"/>
  <c r="Q177" i="19"/>
  <c r="P177" i="19"/>
  <c r="P176" i="19"/>
  <c r="Q176" i="19" s="1"/>
  <c r="P175" i="19"/>
  <c r="Q175" i="19" s="1"/>
  <c r="P174" i="19"/>
  <c r="Q174" i="19" s="1"/>
  <c r="Q173" i="19"/>
  <c r="P173" i="19"/>
  <c r="P172" i="19"/>
  <c r="Q172" i="19" s="1"/>
  <c r="P171" i="19"/>
  <c r="Q171" i="19" s="1"/>
  <c r="P170" i="19"/>
  <c r="Q170" i="19" s="1"/>
  <c r="Q169" i="19"/>
  <c r="P169" i="19"/>
  <c r="P168" i="19"/>
  <c r="Q168" i="19" s="1"/>
  <c r="P167" i="19"/>
  <c r="Q167" i="19" s="1"/>
  <c r="P166" i="19"/>
  <c r="Q166" i="19" s="1"/>
  <c r="Q165" i="19"/>
  <c r="P165" i="19"/>
  <c r="P164" i="19"/>
  <c r="Q164" i="19" s="1"/>
  <c r="P163" i="19"/>
  <c r="Q163" i="19" s="1"/>
  <c r="P162" i="19"/>
  <c r="Q162" i="19" s="1"/>
  <c r="Q161" i="19"/>
  <c r="P161" i="19"/>
  <c r="P160" i="19"/>
  <c r="Q160" i="19" s="1"/>
  <c r="P159" i="19"/>
  <c r="Q159" i="19" s="1"/>
  <c r="P158" i="19"/>
  <c r="Q158" i="19" s="1"/>
  <c r="Q157" i="19"/>
  <c r="P157" i="19"/>
  <c r="P156" i="19"/>
  <c r="Q156" i="19" s="1"/>
  <c r="P155" i="19"/>
  <c r="Q155" i="19" s="1"/>
  <c r="P154" i="19"/>
  <c r="Q154" i="19" s="1"/>
  <c r="Q153" i="19"/>
  <c r="P153" i="19"/>
  <c r="P152" i="19"/>
  <c r="Q152" i="19" s="1"/>
  <c r="P151" i="19"/>
  <c r="Q151" i="19" s="1"/>
  <c r="P150" i="19"/>
  <c r="Q150" i="19" s="1"/>
  <c r="Q149" i="19"/>
  <c r="P149" i="19"/>
  <c r="P148" i="19"/>
  <c r="Q148" i="19" s="1"/>
  <c r="P147" i="19"/>
  <c r="Q147" i="19" s="1"/>
  <c r="P146" i="19"/>
  <c r="Q146" i="19" s="1"/>
  <c r="Q145" i="19"/>
  <c r="P145" i="19"/>
  <c r="P144" i="19"/>
  <c r="Q144" i="19" s="1"/>
  <c r="P143" i="19"/>
  <c r="Q143" i="19" s="1"/>
  <c r="P142" i="19"/>
  <c r="Q142" i="19" s="1"/>
  <c r="Q141" i="19"/>
  <c r="P141" i="19"/>
  <c r="P140" i="19"/>
  <c r="Q140" i="19" s="1"/>
  <c r="P139" i="19"/>
  <c r="Q139" i="19" s="1"/>
  <c r="P138" i="19"/>
  <c r="Q138" i="19" s="1"/>
  <c r="Q137" i="19"/>
  <c r="P137" i="19"/>
  <c r="P136" i="19"/>
  <c r="Q136" i="19" s="1"/>
  <c r="P135" i="19"/>
  <c r="Q135" i="19" s="1"/>
  <c r="P134" i="19"/>
  <c r="Q134" i="19" s="1"/>
  <c r="Q133" i="19"/>
  <c r="P133" i="19"/>
  <c r="P132" i="19"/>
  <c r="Q132" i="19" s="1"/>
  <c r="P131" i="19"/>
  <c r="Q131" i="19" s="1"/>
  <c r="P130" i="19"/>
  <c r="Q130" i="19" s="1"/>
  <c r="Q129" i="19"/>
  <c r="P129" i="19"/>
  <c r="P128" i="19"/>
  <c r="Q128" i="19" s="1"/>
  <c r="P127" i="19"/>
  <c r="Q127" i="19" s="1"/>
  <c r="P126" i="19"/>
  <c r="Q126" i="19" s="1"/>
  <c r="Q125" i="19"/>
  <c r="P125" i="19"/>
  <c r="P124" i="19"/>
  <c r="Q124" i="19" s="1"/>
  <c r="P123" i="19"/>
  <c r="Q123" i="19" s="1"/>
  <c r="P122" i="19"/>
  <c r="Q122" i="19" s="1"/>
  <c r="Q121" i="19"/>
  <c r="P121" i="19"/>
  <c r="P120" i="19"/>
  <c r="Q120" i="19" s="1"/>
  <c r="P119" i="19"/>
  <c r="Q119" i="19" s="1"/>
  <c r="P118" i="19"/>
  <c r="Q118" i="19" s="1"/>
  <c r="Q117" i="19"/>
  <c r="P117" i="19"/>
  <c r="P116" i="19"/>
  <c r="Q116" i="19" s="1"/>
  <c r="P115" i="19"/>
  <c r="Q115" i="19" s="1"/>
  <c r="P114" i="19"/>
  <c r="Q114" i="19" s="1"/>
  <c r="Q113" i="19"/>
  <c r="P113" i="19"/>
  <c r="P112" i="19"/>
  <c r="Q112" i="19" s="1"/>
  <c r="P111" i="19"/>
  <c r="Q111" i="19" s="1"/>
  <c r="P110" i="19"/>
  <c r="Q110" i="19" s="1"/>
  <c r="Q109" i="19"/>
  <c r="P109" i="19"/>
  <c r="P108" i="19"/>
  <c r="Q108" i="19" s="1"/>
  <c r="P107" i="19"/>
  <c r="Q107" i="19" s="1"/>
  <c r="P106" i="19"/>
  <c r="Q106" i="19" s="1"/>
  <c r="Q105" i="19"/>
  <c r="P105" i="19"/>
  <c r="P104" i="19"/>
  <c r="Q104" i="19" s="1"/>
  <c r="P103" i="19"/>
  <c r="Q103" i="19" s="1"/>
  <c r="P102" i="19"/>
  <c r="Q102" i="19" s="1"/>
  <c r="Q101" i="19"/>
  <c r="P101" i="19"/>
  <c r="P100" i="19"/>
  <c r="Q100" i="19" s="1"/>
  <c r="P99" i="19"/>
  <c r="Q99" i="19" s="1"/>
  <c r="P98" i="19"/>
  <c r="Q98" i="19" s="1"/>
  <c r="Q97" i="19"/>
  <c r="P97" i="19"/>
  <c r="P96" i="19"/>
  <c r="Q96" i="19" s="1"/>
  <c r="O95" i="19"/>
  <c r="P95" i="19" s="1"/>
  <c r="Q95" i="19" s="1"/>
  <c r="N95" i="19"/>
  <c r="O94" i="19"/>
  <c r="P94" i="19" s="1"/>
  <c r="Q94" i="19" s="1"/>
  <c r="N94" i="19"/>
  <c r="O93" i="19"/>
  <c r="P93" i="19" s="1"/>
  <c r="Q93" i="19" s="1"/>
  <c r="N93" i="19"/>
  <c r="O92" i="19"/>
  <c r="P92" i="19" s="1"/>
  <c r="Q92" i="19" s="1"/>
  <c r="N92" i="19"/>
  <c r="O91" i="19"/>
  <c r="P91" i="19" s="1"/>
  <c r="Q91" i="19" s="1"/>
  <c r="N91" i="19"/>
  <c r="O90" i="19"/>
  <c r="P90" i="19" s="1"/>
  <c r="Q90" i="19" s="1"/>
  <c r="N90" i="19"/>
  <c r="O89" i="19"/>
  <c r="P89" i="19" s="1"/>
  <c r="Q89" i="19" s="1"/>
  <c r="N89" i="19"/>
  <c r="O88" i="19"/>
  <c r="P88" i="19" s="1"/>
  <c r="Q88" i="19" s="1"/>
  <c r="N88" i="19"/>
  <c r="O87" i="19"/>
  <c r="P87" i="19" s="1"/>
  <c r="Q87" i="19" s="1"/>
  <c r="N87" i="19"/>
  <c r="O86" i="19"/>
  <c r="P86" i="19" s="1"/>
  <c r="Q86" i="19" s="1"/>
  <c r="N86" i="19"/>
  <c r="O85" i="19"/>
  <c r="P85" i="19" s="1"/>
  <c r="Q85" i="19" s="1"/>
  <c r="N85" i="19"/>
  <c r="O84" i="19"/>
  <c r="P84" i="19" s="1"/>
  <c r="Q84" i="19" s="1"/>
  <c r="N84" i="19"/>
  <c r="O83" i="19"/>
  <c r="P83" i="19" s="1"/>
  <c r="Q83" i="19" s="1"/>
  <c r="N83" i="19"/>
  <c r="O82" i="19"/>
  <c r="P82" i="19" s="1"/>
  <c r="Q82" i="19" s="1"/>
  <c r="N82" i="19"/>
  <c r="O81" i="19"/>
  <c r="P81" i="19" s="1"/>
  <c r="Q81" i="19" s="1"/>
  <c r="N81" i="19"/>
  <c r="O80" i="19"/>
  <c r="P80" i="19" s="1"/>
  <c r="Q80" i="19" s="1"/>
  <c r="N80" i="19"/>
  <c r="O79" i="19"/>
  <c r="P79" i="19" s="1"/>
  <c r="Q79" i="19" s="1"/>
  <c r="N79" i="19"/>
  <c r="O78" i="19"/>
  <c r="P78" i="19" s="1"/>
  <c r="Q78" i="19" s="1"/>
  <c r="N78" i="19"/>
  <c r="O77" i="19"/>
  <c r="P77" i="19" s="1"/>
  <c r="Q77" i="19" s="1"/>
  <c r="N77" i="19"/>
  <c r="O76" i="19"/>
  <c r="P76" i="19" s="1"/>
  <c r="Q76" i="19" s="1"/>
  <c r="N76" i="19"/>
  <c r="O75" i="19"/>
  <c r="P75" i="19" s="1"/>
  <c r="Q75" i="19" s="1"/>
  <c r="N75" i="19"/>
  <c r="O74" i="19"/>
  <c r="P74" i="19" s="1"/>
  <c r="Q74" i="19" s="1"/>
  <c r="N74" i="19"/>
  <c r="O73" i="19"/>
  <c r="P73" i="19" s="1"/>
  <c r="Q73" i="19" s="1"/>
  <c r="N73" i="19"/>
  <c r="O72" i="19"/>
  <c r="P72" i="19" s="1"/>
  <c r="Q72" i="19" s="1"/>
  <c r="N72" i="19"/>
  <c r="O71" i="19"/>
  <c r="P71" i="19" s="1"/>
  <c r="Q71" i="19" s="1"/>
  <c r="N71" i="19"/>
  <c r="O70" i="19"/>
  <c r="P70" i="19" s="1"/>
  <c r="Q70" i="19" s="1"/>
  <c r="N70" i="19"/>
  <c r="O69" i="19"/>
  <c r="P69" i="19" s="1"/>
  <c r="Q69" i="19" s="1"/>
  <c r="N69" i="19"/>
  <c r="O68" i="19"/>
  <c r="P68" i="19" s="1"/>
  <c r="Q68" i="19" s="1"/>
  <c r="N68" i="19"/>
  <c r="O67" i="19"/>
  <c r="P67" i="19" s="1"/>
  <c r="Q67" i="19" s="1"/>
  <c r="N67" i="19"/>
  <c r="O66" i="19"/>
  <c r="P66" i="19" s="1"/>
  <c r="Q66" i="19" s="1"/>
  <c r="N66" i="19"/>
  <c r="O65" i="19"/>
  <c r="P65" i="19" s="1"/>
  <c r="Q65" i="19" s="1"/>
  <c r="N65" i="19"/>
  <c r="O64" i="19"/>
  <c r="P64" i="19" s="1"/>
  <c r="Q64" i="19" s="1"/>
  <c r="N64" i="19"/>
  <c r="O63" i="19"/>
  <c r="P63" i="19" s="1"/>
  <c r="Q63" i="19" s="1"/>
  <c r="N63" i="19"/>
  <c r="O62" i="19"/>
  <c r="P62" i="19" s="1"/>
  <c r="Q62" i="19" s="1"/>
  <c r="N62" i="19"/>
  <c r="O61" i="19"/>
  <c r="P61" i="19" s="1"/>
  <c r="Q61" i="19" s="1"/>
  <c r="N61" i="19"/>
  <c r="O60" i="19"/>
  <c r="P60" i="19" s="1"/>
  <c r="Q60" i="19" s="1"/>
  <c r="N60" i="19"/>
  <c r="O59" i="19"/>
  <c r="P59" i="19" s="1"/>
  <c r="Q59" i="19" s="1"/>
  <c r="N59" i="19"/>
  <c r="O58" i="19"/>
  <c r="P58" i="19" s="1"/>
  <c r="Q58" i="19" s="1"/>
  <c r="N58" i="19"/>
  <c r="O57" i="19"/>
  <c r="P57" i="19" s="1"/>
  <c r="Q57" i="19" s="1"/>
  <c r="N57" i="19"/>
  <c r="O56" i="19"/>
  <c r="P56" i="19" s="1"/>
  <c r="Q56" i="19" s="1"/>
  <c r="N56" i="19"/>
  <c r="O55" i="19"/>
  <c r="P55" i="19" s="1"/>
  <c r="Q55" i="19" s="1"/>
  <c r="N55" i="19"/>
  <c r="O54" i="19"/>
  <c r="P54" i="19" s="1"/>
  <c r="Q54" i="19" s="1"/>
  <c r="N54" i="19"/>
  <c r="O53" i="19"/>
  <c r="P53" i="19" s="1"/>
  <c r="Q53" i="19" s="1"/>
  <c r="N53" i="19"/>
  <c r="O52" i="19"/>
  <c r="P52" i="19" s="1"/>
  <c r="Q52" i="19" s="1"/>
  <c r="N52" i="19"/>
  <c r="O51" i="19"/>
  <c r="P51" i="19" s="1"/>
  <c r="Q51" i="19" s="1"/>
  <c r="N51" i="19"/>
  <c r="O50" i="19"/>
  <c r="P50" i="19" s="1"/>
  <c r="Q50" i="19" s="1"/>
  <c r="N50" i="19"/>
  <c r="O49" i="19"/>
  <c r="P49" i="19" s="1"/>
  <c r="Q49" i="19" s="1"/>
  <c r="N49" i="19"/>
  <c r="O48" i="19"/>
  <c r="P48" i="19" s="1"/>
  <c r="Q48" i="19" s="1"/>
  <c r="N48" i="19"/>
  <c r="O47" i="19"/>
  <c r="P47" i="19" s="1"/>
  <c r="Q47" i="19" s="1"/>
  <c r="N47" i="19"/>
  <c r="O46" i="19"/>
  <c r="P46" i="19" s="1"/>
  <c r="Q46" i="19" s="1"/>
  <c r="N46" i="19"/>
  <c r="O45" i="19"/>
  <c r="P45" i="19" s="1"/>
  <c r="Q45" i="19" s="1"/>
  <c r="N45" i="19"/>
  <c r="O44" i="19"/>
  <c r="P44" i="19" s="1"/>
  <c r="Q44" i="19" s="1"/>
  <c r="N44" i="19"/>
  <c r="O43" i="19"/>
  <c r="P43" i="19" s="1"/>
  <c r="Q43" i="19" s="1"/>
  <c r="N43" i="19"/>
  <c r="O42" i="19"/>
  <c r="P42" i="19" s="1"/>
  <c r="Q42" i="19" s="1"/>
  <c r="N42" i="19"/>
  <c r="O41" i="19"/>
  <c r="P41" i="19" s="1"/>
  <c r="Q41" i="19" s="1"/>
  <c r="N41" i="19"/>
  <c r="O40" i="19"/>
  <c r="P40" i="19" s="1"/>
  <c r="Q40" i="19" s="1"/>
  <c r="N40" i="19"/>
  <c r="O39" i="19"/>
  <c r="P39" i="19" s="1"/>
  <c r="Q39" i="19" s="1"/>
  <c r="N39" i="19"/>
  <c r="O38" i="19"/>
  <c r="P38" i="19" s="1"/>
  <c r="Q38" i="19" s="1"/>
  <c r="N38" i="19"/>
  <c r="O37" i="19"/>
  <c r="P37" i="19" s="1"/>
  <c r="Q37" i="19" s="1"/>
  <c r="N37" i="19"/>
  <c r="O36" i="19"/>
  <c r="P36" i="19" s="1"/>
  <c r="Q36" i="19" s="1"/>
  <c r="N36" i="19"/>
  <c r="O35" i="19"/>
  <c r="P35" i="19" s="1"/>
  <c r="Q35" i="19" s="1"/>
  <c r="N35" i="19"/>
  <c r="N34" i="19"/>
  <c r="O34" i="19" s="1"/>
  <c r="P34" i="19" s="1"/>
  <c r="Q34" i="19" s="1"/>
  <c r="N33" i="19"/>
  <c r="O33" i="19" s="1"/>
  <c r="P33" i="19" s="1"/>
  <c r="Q33" i="19" s="1"/>
  <c r="N32" i="19"/>
  <c r="O32" i="19" s="1"/>
  <c r="P32" i="19" s="1"/>
  <c r="Q32" i="19" s="1"/>
  <c r="N31" i="19"/>
  <c r="O31" i="19" s="1"/>
  <c r="P31" i="19" s="1"/>
  <c r="Q31" i="19" s="1"/>
  <c r="O30" i="19"/>
  <c r="P30" i="19" s="1"/>
  <c r="Q30" i="19" s="1"/>
  <c r="N30" i="19"/>
  <c r="O29" i="19"/>
  <c r="P29" i="19" s="1"/>
  <c r="Q29" i="19" s="1"/>
  <c r="N29" i="19"/>
  <c r="N28" i="19"/>
  <c r="O28" i="19" s="1"/>
  <c r="P28" i="19" s="1"/>
  <c r="Q28" i="19" s="1"/>
  <c r="N27" i="19"/>
  <c r="O27" i="19" s="1"/>
  <c r="P27" i="19" s="1"/>
  <c r="Q27" i="19" s="1"/>
  <c r="N26" i="19"/>
  <c r="O26" i="19" s="1"/>
  <c r="P26" i="19" s="1"/>
  <c r="Q26" i="19" s="1"/>
  <c r="N25" i="19"/>
  <c r="O25" i="19" s="1"/>
  <c r="P25" i="19" s="1"/>
  <c r="Q25" i="19" s="1"/>
  <c r="N24" i="19"/>
  <c r="O24" i="19" s="1"/>
  <c r="P24" i="19" s="1"/>
  <c r="Q24" i="19" s="1"/>
  <c r="N23" i="19"/>
  <c r="O23" i="19" s="1"/>
  <c r="P23" i="19" s="1"/>
  <c r="Q23" i="19" s="1"/>
  <c r="N22" i="19"/>
  <c r="O22" i="19" s="1"/>
  <c r="P22" i="19" s="1"/>
  <c r="Q22" i="19" s="1"/>
  <c r="N21" i="19"/>
  <c r="O21" i="19" s="1"/>
  <c r="P21" i="19" s="1"/>
  <c r="Q21" i="19" s="1"/>
  <c r="N20" i="19"/>
  <c r="O20" i="19" s="1"/>
  <c r="P20" i="19" s="1"/>
  <c r="Q20" i="19" s="1"/>
  <c r="N19" i="19"/>
  <c r="O19" i="19" s="1"/>
  <c r="P19" i="19" s="1"/>
  <c r="Q19" i="19" s="1"/>
  <c r="N18" i="19"/>
  <c r="O18" i="19" s="1"/>
  <c r="P18" i="19" s="1"/>
  <c r="Q18" i="19" s="1"/>
  <c r="O17" i="19"/>
  <c r="P17" i="19" s="1"/>
  <c r="Q17" i="19" s="1"/>
  <c r="N17" i="19"/>
  <c r="N16" i="19"/>
  <c r="O16" i="19" s="1"/>
  <c r="P16" i="19" s="1"/>
  <c r="Q16" i="19" s="1"/>
  <c r="N15" i="19"/>
  <c r="O15" i="19" s="1"/>
  <c r="P15" i="19" s="1"/>
  <c r="Q15" i="19" s="1"/>
  <c r="N14" i="19"/>
  <c r="O14" i="19" s="1"/>
  <c r="P14" i="19" s="1"/>
  <c r="Q14" i="19" s="1"/>
  <c r="N13" i="19"/>
  <c r="O13" i="19" s="1"/>
  <c r="P13" i="19" s="1"/>
  <c r="Q13" i="19" s="1"/>
  <c r="N12" i="19"/>
  <c r="O12" i="19" s="1"/>
  <c r="P12" i="19" s="1"/>
  <c r="Q12" i="19" s="1"/>
  <c r="N11" i="19"/>
  <c r="O11" i="19" s="1"/>
  <c r="P11" i="19" s="1"/>
  <c r="Q11" i="19" s="1"/>
  <c r="O10" i="19"/>
  <c r="P10" i="19" s="1"/>
  <c r="Q10" i="19" s="1"/>
  <c r="N10" i="19"/>
  <c r="N9" i="19"/>
  <c r="O9" i="19" s="1"/>
  <c r="P9" i="19" s="1"/>
  <c r="Q9" i="19" s="1"/>
  <c r="N8" i="19"/>
  <c r="O8" i="19" s="1"/>
  <c r="P8" i="19" s="1"/>
  <c r="Q8" i="19" s="1"/>
  <c r="O7" i="19"/>
  <c r="P7" i="19" s="1"/>
  <c r="Q7" i="19" s="1"/>
  <c r="N7" i="19"/>
  <c r="O6" i="19"/>
  <c r="P6" i="19" s="1"/>
  <c r="Q6" i="19" s="1"/>
  <c r="N6" i="19"/>
  <c r="O5" i="19"/>
  <c r="P5" i="19" s="1"/>
  <c r="Q5" i="19" s="1"/>
  <c r="N5" i="19"/>
  <c r="O4" i="19"/>
  <c r="P4" i="19" s="1"/>
  <c r="Q4" i="19" s="1"/>
  <c r="N4" i="19"/>
  <c r="O3" i="19"/>
  <c r="P3" i="19" s="1"/>
  <c r="Q3" i="19" s="1"/>
  <c r="N3" i="19"/>
  <c r="G1" i="19"/>
  <c r="E1" i="19"/>
  <c r="C1" i="19"/>
  <c r="M29" i="4" l="1"/>
  <c r="K29" i="4"/>
  <c r="M28" i="4"/>
  <c r="K26" i="4"/>
  <c r="M26" i="4"/>
  <c r="G26" i="4"/>
  <c r="K25" i="4"/>
  <c r="K24" i="4"/>
  <c r="M25" i="4" l="1"/>
  <c r="G25" i="4"/>
  <c r="L25" i="4"/>
  <c r="G29" i="4"/>
  <c r="L29" i="4"/>
  <c r="L26" i="4"/>
  <c r="G24" i="4"/>
  <c r="L24" i="4"/>
  <c r="M24" i="4"/>
  <c r="G28" i="4"/>
  <c r="K28" i="4"/>
  <c r="L28" i="4"/>
  <c r="J28" i="4" l="1"/>
  <c r="H25" i="4"/>
  <c r="I25" i="4"/>
  <c r="I24" i="4"/>
  <c r="H28" i="4"/>
  <c r="H24" i="4"/>
  <c r="J26" i="4"/>
  <c r="J24" i="4"/>
  <c r="I28" i="4"/>
  <c r="J29" i="4"/>
  <c r="H26" i="4"/>
  <c r="I29" i="4"/>
  <c r="J25" i="4"/>
  <c r="I26" i="4"/>
  <c r="H29" i="4"/>
  <c r="K21" i="4" l="1"/>
  <c r="L21" i="4"/>
  <c r="K23" i="4"/>
  <c r="K22" i="4"/>
  <c r="F33" i="4"/>
  <c r="F32" i="4"/>
  <c r="F31" i="4"/>
  <c r="F30" i="4"/>
  <c r="F29" i="4"/>
  <c r="F28" i="4"/>
  <c r="F27" i="4"/>
  <c r="F26" i="4"/>
  <c r="F25" i="4"/>
  <c r="F24" i="4"/>
  <c r="F23" i="4"/>
  <c r="F22" i="4"/>
  <c r="F21" i="4"/>
  <c r="F20" i="4"/>
  <c r="K20" i="4"/>
  <c r="M23" i="4" l="1"/>
  <c r="L23" i="4"/>
  <c r="G23" i="4"/>
  <c r="M22" i="4"/>
  <c r="L22" i="4"/>
  <c r="G22" i="4"/>
  <c r="M21" i="4"/>
  <c r="G21" i="4"/>
  <c r="M20" i="4"/>
  <c r="G20" i="4"/>
  <c r="L20" i="4"/>
  <c r="I20" i="4" l="1"/>
  <c r="H23" i="4"/>
  <c r="H20" i="4"/>
  <c r="J20" i="4"/>
  <c r="I23" i="4"/>
  <c r="J22" i="4"/>
  <c r="I22" i="4"/>
  <c r="H21" i="4"/>
  <c r="H22" i="4"/>
  <c r="I21" i="4"/>
  <c r="J23" i="4"/>
  <c r="J21" i="4"/>
  <c r="M34" i="4"/>
  <c r="L34" i="4"/>
  <c r="K34" i="4"/>
  <c r="F41" i="1"/>
  <c r="J41" i="1"/>
  <c r="F42" i="1"/>
  <c r="J42" i="1"/>
  <c r="J55" i="1" s="1"/>
  <c r="F43" i="1"/>
  <c r="J43" i="1"/>
  <c r="F44" i="1"/>
  <c r="J44" i="1"/>
  <c r="F45" i="1"/>
  <c r="J45" i="1"/>
  <c r="F46" i="1"/>
  <c r="J46" i="1"/>
  <c r="F47" i="1"/>
  <c r="J47" i="1"/>
  <c r="F48" i="1"/>
  <c r="J48" i="1"/>
  <c r="F49" i="1"/>
  <c r="J49" i="1"/>
  <c r="F50" i="1"/>
  <c r="J50" i="1"/>
  <c r="F51" i="1"/>
  <c r="J51" i="1"/>
  <c r="F52" i="1"/>
  <c r="J52" i="1"/>
  <c r="F53" i="1"/>
  <c r="J53" i="1"/>
  <c r="F54" i="1"/>
  <c r="J54" i="1"/>
  <c r="H55" i="1"/>
  <c r="I55" i="1"/>
  <c r="K55" i="1"/>
  <c r="L55" i="1"/>
  <c r="M55" i="1"/>
  <c r="N55" i="1"/>
  <c r="O55" i="1"/>
  <c r="P55" i="1"/>
  <c r="J34" i="4" l="1"/>
  <c r="I34" i="4"/>
  <c r="H34"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<sst xmlns="http://schemas.openxmlformats.org/spreadsheetml/2006/main" count="1873" uniqueCount="535">
  <si>
    <t>PROJECT NAME</t>
  </si>
  <si>
    <t>NUMBER OF TEAM MEMBERS</t>
  </si>
  <si>
    <t>RISKS</t>
  </si>
  <si>
    <t>HIGH</t>
  </si>
  <si>
    <t>MEDIUM</t>
  </si>
  <si>
    <t>LOW</t>
  </si>
  <si>
    <t>OPEN</t>
  </si>
  <si>
    <t>ISSUES</t>
  </si>
  <si>
    <t>REVISIONS</t>
  </si>
  <si>
    <t>PENDING ACTIONS</t>
  </si>
  <si>
    <t>TIMELINE</t>
  </si>
  <si>
    <t>BEGIN</t>
  </si>
  <si>
    <t>FINISH</t>
  </si>
  <si>
    <t># of DAYS</t>
  </si>
  <si>
    <t>BUDGET</t>
  </si>
  <si>
    <t>PROJECTED</t>
  </si>
  <si>
    <t>ACTUAL</t>
  </si>
  <si>
    <t>REMAINDER</t>
  </si>
  <si>
    <t>Project A</t>
  </si>
  <si>
    <t>Project B</t>
  </si>
  <si>
    <t>Project C</t>
  </si>
  <si>
    <t>Project D</t>
  </si>
  <si>
    <t>Project E</t>
  </si>
  <si>
    <t>Project F</t>
  </si>
  <si>
    <t>Project G</t>
  </si>
  <si>
    <t>Project H</t>
  </si>
  <si>
    <t>Project J</t>
  </si>
  <si>
    <t>Project K</t>
  </si>
  <si>
    <t>Project L</t>
  </si>
  <si>
    <t>Project M</t>
  </si>
  <si>
    <t>Project N</t>
  </si>
  <si>
    <t>Project P</t>
  </si>
  <si>
    <t>CALENDAR</t>
  </si>
  <si>
    <t>PROJECT FINANCIALS</t>
  </si>
  <si>
    <t>DELIVERY TIMELINE &amp; RESOURCES</t>
  </si>
  <si>
    <t>RISK ANALYSIS</t>
  </si>
  <si>
    <t>OPEN &amp; PENDING ACTIONS</t>
  </si>
  <si>
    <t>PROJECT REPORT</t>
  </si>
  <si>
    <t>SCHEDULE</t>
  </si>
  <si>
    <t>RESOURCES</t>
  </si>
  <si>
    <t>COMMENTS</t>
  </si>
  <si>
    <t>CLICK HERE TO CREATE IN SMARTSHEET</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</si>
  <si>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</si>
  <si>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DASHBOARD DATA</t>
  </si>
  <si>
    <t xml:space="preserve">**Delete unused rows to correctly populate charts and graphs, above.  </t>
  </si>
  <si>
    <t xml:space="preserve">**Enter data in the table beginning on Row 41 </t>
  </si>
  <si>
    <t>Multiple Project Dashboard Tracking Template Example</t>
  </si>
  <si>
    <t>FRIM</t>
  </si>
  <si>
    <t>&lt;---</t>
  </si>
  <si>
    <t>Total</t>
  </si>
  <si>
    <t>Pending/InProgress</t>
  </si>
  <si>
    <t>Completed/Closed</t>
  </si>
  <si>
    <t>No</t>
  </si>
  <si>
    <t>Ticket No</t>
  </si>
  <si>
    <t>Task Type</t>
  </si>
  <si>
    <t>Project</t>
  </si>
  <si>
    <t>Company</t>
  </si>
  <si>
    <t>Ticket Title</t>
  </si>
  <si>
    <t>Ticket Detail</t>
  </si>
  <si>
    <t>Ticket Category</t>
  </si>
  <si>
    <t>Priority</t>
  </si>
  <si>
    <t>Ticket Created Date</t>
  </si>
  <si>
    <t>Ticket Completed Date</t>
  </si>
  <si>
    <t>Ticket Closed Date</t>
  </si>
  <si>
    <t>Ticket Status</t>
  </si>
  <si>
    <t>SLA Dateline</t>
  </si>
  <si>
    <t>SLA Late</t>
  </si>
  <si>
    <t>Days</t>
  </si>
  <si>
    <t>Ageing</t>
  </si>
  <si>
    <t>Maintenance</t>
  </si>
  <si>
    <t>Issue</t>
  </si>
  <si>
    <t>Medium</t>
  </si>
  <si>
    <t>Closed</t>
  </si>
  <si>
    <t>Pending</t>
  </si>
  <si>
    <t>Completed</t>
  </si>
  <si>
    <t>MYPROCUREMENT</t>
  </si>
  <si>
    <t>Procurement</t>
  </si>
  <si>
    <t>MYASSET</t>
  </si>
  <si>
    <t>MYFINANCIAL</t>
  </si>
  <si>
    <t>1-30 DAYS</t>
  </si>
  <si>
    <t>31-60 DAYS</t>
  </si>
  <si>
    <t>&gt; 60 DAYS</t>
  </si>
  <si>
    <t>TOTAL TICKETS</t>
  </si>
  <si>
    <t>PENDING</t>
  </si>
  <si>
    <t>INPROGRESS</t>
  </si>
  <si>
    <t>COMPLETED / CLOSED</t>
  </si>
  <si>
    <t>MPOB</t>
  </si>
  <si>
    <t>MTIB</t>
  </si>
  <si>
    <t>LKTN</t>
  </si>
  <si>
    <t>LAM</t>
  </si>
  <si>
    <t>ISN</t>
  </si>
  <si>
    <t>MSN</t>
  </si>
  <si>
    <t>CONTRACT PERIOD</t>
  </si>
  <si>
    <t>CONTRACT DATE</t>
  </si>
  <si>
    <t>MYPAYROLL</t>
  </si>
  <si>
    <t>MYINVESTMENT</t>
  </si>
  <si>
    <t>MyFinancial</t>
  </si>
  <si>
    <t>MyAsset</t>
  </si>
  <si>
    <t>EFT</t>
  </si>
  <si>
    <t>PENGESAHAN PENERIMAAN</t>
  </si>
  <si>
    <t>SLA EXCEED BY CLIENTS</t>
  </si>
  <si>
    <t>Issue by Clients</t>
  </si>
  <si>
    <t>KUIPS</t>
  </si>
  <si>
    <t>KHTP (KTPC)</t>
  </si>
  <si>
    <t>KUIPS (Warranty)</t>
  </si>
  <si>
    <t>KTPC</t>
  </si>
  <si>
    <t>T/2026/00384</t>
  </si>
  <si>
    <t>PERMOHONAN PEMBELIAN</t>
  </si>
  <si>
    <t>SUSUNAN DIBAHAGIAN ITEM/KETERANGAN TIDAK SELARAS MENGIKUT TURUTAN JIKA BERLAKU ITEM/KETERANGAN YANG MELEBIHI 15 DAN KEATAS</t>
  </si>
  <si>
    <t>T/2026/00387</t>
  </si>
  <si>
    <t>CETAKAN PURCHASE ORDER DI BAHAGIAN LOGO MASIH BELUM TUKAR KEPADA UNISIRAJ / DAN DIBAHAGIAN BAWAH NAMA PELULUS DAN PENYEDIA MASIH PAKAI KOLEJ UNIVERSITI</t>
  </si>
  <si>
    <t>T/2026/00388</t>
  </si>
  <si>
    <t>KETERANGAN DALAM CETAKAN PESANAN BELIAN UNTUK TAMBAH ROW</t>
  </si>
  <si>
    <t>T/2026/00390</t>
  </si>
  <si>
    <t>KEW8</t>
  </si>
  <si>
    <t>KEW8 TIDAK REFLECT KE MYPAYROLL ( ADA CERTAIN AMOUNT JE TAK REFLECT) Farisya - bulan 2 2026. Bagi staf yang temporary inactive.</t>
  </si>
  <si>
    <t>T/2026/00391</t>
  </si>
  <si>
    <t>INTEGRASI</t>
  </si>
  <si>
    <t>- POTONGAN TAKAFUL TIDAK REFLECT KE MYFINANCIAL. MISSING (TIDAK BERLAKU PADA SETIAP BULAN) dan klinik panel bulan feb 2026.</t>
  </si>
  <si>
    <t>T/2026/00392</t>
  </si>
  <si>
    <t>BELANJAWAN</t>
  </si>
  <si>
    <t>PERUNTUKAN - TAMBAH / KURANG : CETAKAN PENYEDIA DAN PELULUS VIREMENT MASIH SALAH.</t>
  </si>
  <si>
    <t>T/2026/00395</t>
  </si>
  <si>
    <t>PERUNTUKAN - VIREMENT : CETAKAN PENYEDIA DAN PELULUS VIREMENT MASIH SALAH.</t>
  </si>
  <si>
    <t>T/2026/00396</t>
  </si>
  <si>
    <t>TATACARA PENGURUSAN ASET</t>
  </si>
  <si>
    <t>KEW-PA1, KEW-PA7, KEW-PA8: Masih menggunakan logo yang lama</t>
  </si>
  <si>
    <t>T/2026/00397</t>
  </si>
  <si>
    <t>MODULE LAPORAN MYASET</t>
  </si>
  <si>
    <t>SEMAK SEMULA SEMUA LAPORAN BOLEH DI JANA ATAU TIDAK</t>
  </si>
  <si>
    <t>T/2026/00398</t>
  </si>
  <si>
    <t>LAPORAN MYINVESTMENT</t>
  </si>
  <si>
    <t>T/2026/00399</t>
  </si>
  <si>
    <t>LAPORAN BELANJAWAN : REQUEST REPORT SEHINGGA LEVEL 4</t>
  </si>
  <si>
    <t>T/2026/00400</t>
  </si>
  <si>
    <t>GENERAL</t>
  </si>
  <si>
    <t>MOHON LETAKKAN NAMA, JAWATAN, TARIKH DAN MASA BAGI SETIAP CETAKAN NAMA. (BAUCAR, PO, LAPORAN DLL)</t>
  </si>
  <si>
    <t>T/2026/00401</t>
  </si>
  <si>
    <t>LOGO DAN NAMA KUIPS MASIH ADA YANG BELUM DIKEMASKINI</t>
  </si>
  <si>
    <t>T/2026/00402</t>
  </si>
  <si>
    <t>PRINT LIMIT</t>
  </si>
  <si>
    <t>T/2026/00403</t>
  </si>
  <si>
    <t>AKAUN BELUM TERIMA</t>
  </si>
  <si>
    <t>CODE PENGHUTANG : ADA 2 CODE BAGI PENGHUTANG/STUDENT YG SAMA</t>
  </si>
  <si>
    <t>T/2026/00404</t>
  </si>
  <si>
    <t>T/2026/00405</t>
  </si>
  <si>
    <t>LAPORAN PENGUMURAN PENGHUTANG - JUMLAH TAK TALLY</t>
  </si>
  <si>
    <t>T/2026/00406</t>
  </si>
  <si>
    <t>PENGESAHAN BIL - SENARAI BIL DISAHKAN : - PAPARAN BAGI BIL TELAH DISAHKAN MENGIKUT TAHUN (ERROR) - PENGESAHAN BIL ERROR</t>
  </si>
  <si>
    <t>T/2026/00407</t>
  </si>
  <si>
    <t>BILLPLZ - i STUDENT - MY FINANCIAL (INTEGRASI)</t>
  </si>
  <si>
    <t>LEJAR MAHASISWA &amp; RESIT BIL - BAYARAN MELALUI BILLPLZ TIDAK REFLECT AUTO KE MY FINANCIAL - TRANSAKSI TERKINI CERTAIN BAYARAN MELALUI BILLPLZ TIDAK APPEAR RESIT DI iSTUDENT - TERIMAAN BAYARAN (KEY IN) MELALUI MY FINANCIAL TIDAK INTEGRASI KE iSTUDENT. PAPARAN DI ISTUDENT MASIH APPEAR OUTSTANDING - TERIMAAN MAIPS BAGI SESI FEB 24/25 DI MY FINANCIAL BELUM REFLECT KE iSTUDENT - TERIMAAN MAIPS BAGI SESI SEP 25/26 BELUM PICKUP DI MY FINANCIAL &amp; iSTUDENT</t>
  </si>
  <si>
    <t>T/2026/00408</t>
  </si>
  <si>
    <t>AKAUN BELUM BAYAR</t>
  </si>
  <si>
    <t>BAUCER : CETAKAN BAUCER KERAP NAIK BANYAK NAMA PADA BAHAGIAN SEDIA, SEMAK DAN LULUS</t>
  </si>
  <si>
    <t>T/2026/00409</t>
  </si>
  <si>
    <t>LAPORAN - SENARAI BAKI PEMIUTANG &amp; PENYATA PEMIUTANG : BAKI AMAUN TAK SYNC</t>
  </si>
  <si>
    <t>T/2026/00410</t>
  </si>
  <si>
    <t>LAPORAN - SENARAI BAKI PEMIUTANG &amp; PENYATA PEMIUTANG : LAPORAN PENGUMURAN TIADA</t>
  </si>
  <si>
    <t>T/2026/00411</t>
  </si>
  <si>
    <t>PENGURUSAN TUNAI</t>
  </si>
  <si>
    <t>PENYATA PENYESUAIAN BANK : - MASIH BELUM BERFUNGSI MODUL RECONCILIATION 1. REQUEST TO ADD BUTTON ""PRINT"" BEFORE START RECONCILE AND AFTER RECONCILE. 2. PROBLEM OCCUR WHEN UPLOAD BANK STATEMENT, FIGURE APPEAR NOT TALLY WITH BANK STATEMENT AND TXT FILE."</t>
  </si>
  <si>
    <t>T/2026/00412</t>
  </si>
  <si>
    <t>PENYATA PENYESUAIAN BANK : TIADA ITEM DI STATUS TUNAI MASUK DAN STATUS TUNAI KELUAR</t>
  </si>
  <si>
    <t>T/2026/00413</t>
  </si>
  <si>
    <t>BAYARAN MANUAL : ADA BAUCER YANG TELAH DIPOS TETAPI PATAH BALIK</t>
  </si>
  <si>
    <t>T/2026/00414</t>
  </si>
  <si>
    <t>BANK IN SLIP : ISSUE BANK IN SLIP - AUTO KEY IN DARI RESIT</t>
  </si>
  <si>
    <t>T/2026/00415</t>
  </si>
  <si>
    <t>PROSES BAYARAN</t>
  </si>
  <si>
    <t>- JANAAN NO EFT TIDAK MENGIKUT TURUTAN (NO EFT YANG TIADA - E260200037, E260200038, E260200041, E260200043)</t>
  </si>
  <si>
    <t>T/2026/00416</t>
  </si>
  <si>
    <t>JURNAL GAJI</t>
  </si>
  <si>
    <t>SEBAHAGIAN INTEGRASI DARI MYPAYROLL TIDAK MASUK KE MODULE GAJI. CONTOH POTONGAN TAKAFUL DAN MEDICAL</t>
  </si>
  <si>
    <t>T/2026/00417</t>
  </si>
  <si>
    <t>LAPORAN</t>
  </si>
  <si>
    <t>PENYATA KEWANGAN, KUNCI KIRA-KIRA DAN TRIAL BALANCE - FORMAT PENYATA KEWANGAN AS PER AUDITED REPORT</t>
  </si>
  <si>
    <t>T/2026/00418</t>
  </si>
  <si>
    <t>AKB</t>
  </si>
  <si>
    <t>DATA2 PEMBAYARAN BG AKB, PIHAK VENDOR MINTA LISTKAN BAUCAR PEMBAYARAN UTK DIMASUKKAN KE MODULE AKB. MODULE AKB MASIH BLM ADA DI DLM SISTEM MYFINANCIAL</t>
  </si>
  <si>
    <t>T/2026/00440</t>
  </si>
  <si>
    <t>Modul Laporan Lajer</t>
  </si>
  <si>
    <t>Sistem sangat slow. Dan ada certain module tidak dapat masuk langsung</t>
  </si>
  <si>
    <t>T/2026/00441</t>
  </si>
  <si>
    <t>Modul Akaun Belum Terima</t>
  </si>
  <si>
    <t>Tidak boleh mengesahkan bil. dan keluar paparan error</t>
  </si>
  <si>
    <t>FAILED SLA</t>
  </si>
  <si>
    <t>Maintenance Client Issue Dashboard Tracking 30/06/2026</t>
  </si>
  <si>
    <t>Title</t>
  </si>
  <si>
    <t>Description</t>
  </si>
  <si>
    <t>Category</t>
  </si>
  <si>
    <t>Progress</t>
  </si>
  <si>
    <t>Assigned to</t>
  </si>
  <si>
    <t>Status Progress</t>
  </si>
  <si>
    <t>Percentage</t>
  </si>
  <si>
    <t>Overall Progress Task (%)</t>
  </si>
  <si>
    <t>Payroll</t>
  </si>
  <si>
    <t>1. MYSTEP (Kategori Bukan Tetap)</t>
  </si>
  <si>
    <t>Enhancement (CR)</t>
  </si>
  <si>
    <t>Done</t>
  </si>
  <si>
    <t>High</t>
  </si>
  <si>
    <t>Mohd Faisal Ahmad; Rafizul Arif Abd. Talib</t>
  </si>
  <si>
    <t>2. Pendaftaran Kakitangan</t>
  </si>
  <si>
    <t>3. Kemaskini Gaji</t>
  </si>
  <si>
    <t>4. Slip Gaji</t>
  </si>
  <si>
    <t>5. Laporan</t>
  </si>
  <si>
    <t>6. Integrasi Sistem</t>
  </si>
  <si>
    <t>In progress</t>
  </si>
  <si>
    <t>Zaim; Mohd Faisal Ahmad; Nur Syahirah;</t>
  </si>
  <si>
    <t>In Progress</t>
  </si>
  <si>
    <t>Mohd Faisal Ahmad; Nur Syahirah; En Musa</t>
  </si>
  <si>
    <t>Not Started</t>
  </si>
  <si>
    <t>9. FAT</t>
  </si>
  <si>
    <t>10. Go Live</t>
  </si>
  <si>
    <t>Claim</t>
  </si>
  <si>
    <t>1. Tempahan hotel &amp; tiket penerbangan</t>
  </si>
  <si>
    <t>Zainal Abidin Md Halim; Luqmanulhakim Bin Mohamad Radzi</t>
  </si>
  <si>
    <t>2. Tempahan hotel &amp; kenderaan sendiri</t>
  </si>
  <si>
    <t>3. Tetapan pegawai tempahan</t>
  </si>
  <si>
    <t>4. Tetapan pelulus kenderaan</t>
  </si>
  <si>
    <t>5. Pindaan aktiviti</t>
  </si>
  <si>
    <t>Zaim; Zainal Abidin Md Halim; Nur Syahirah;</t>
  </si>
  <si>
    <t>Zainal Abidin Md Halim; Luqmanulhakim Bin Mohamad Radzi; Nur Syahirah;</t>
  </si>
  <si>
    <t>8. FAT</t>
  </si>
  <si>
    <t>9. Go Live</t>
  </si>
  <si>
    <t>Asset</t>
  </si>
  <si>
    <t>1. Barkod</t>
  </si>
  <si>
    <t>Mohd Faisal Ahmad; Suhana Abu Yasir</t>
  </si>
  <si>
    <t>2. Pelupusan Aset</t>
  </si>
  <si>
    <t>3. Aduan Kerosakan Aset</t>
  </si>
  <si>
    <t xml:space="preserve">4. Pinjaman Aset </t>
  </si>
  <si>
    <t>5. Pindahan Aset</t>
  </si>
  <si>
    <t>6. Laporan JKPAK dan Eksekutif</t>
  </si>
  <si>
    <t>7. Integrasi Sistem</t>
  </si>
  <si>
    <t>8. Asset Mobile</t>
  </si>
  <si>
    <t>Mohd Arif Irfan; Suhana Abu Yasir</t>
  </si>
  <si>
    <t>Zaim; Mohd Faisal Ahmad; Nur Syahirah</t>
  </si>
  <si>
    <t>Mohd Faisal Ahmad; Suhana Abu Yasir; Nur Syahirah</t>
  </si>
  <si>
    <t>11. FAT</t>
  </si>
  <si>
    <t>Supplier Portal</t>
  </si>
  <si>
    <t>1. Modul Pendaftaran Syarikat</t>
  </si>
  <si>
    <t>Not started</t>
  </si>
  <si>
    <t>Muhammad Arif Irfaan Zakaria; Mohd Faisal Ahmad</t>
  </si>
  <si>
    <t>2. Modul Integrasi Payment Gateway untuk caj pendaftaran syarikat</t>
  </si>
  <si>
    <t>3. Submodul Pengesahan Pendaftaran Syarikat Baru</t>
  </si>
  <si>
    <t>4. Submodul Pengesahan Kemaskini Syarikat</t>
  </si>
  <si>
    <t>1. Submodul Laporan Pendaftaran Syarikat</t>
  </si>
  <si>
    <t>2. Submodul Permohonan Kertas Kerja</t>
  </si>
  <si>
    <t>3. Submodul Pembetulan Kertas Kerja</t>
  </si>
  <si>
    <t>4. Submodul Semakan Pegawai Bahagian Kertas Kerja</t>
  </si>
  <si>
    <t>5. Submodul Semakan Pegawai VOT Kertas Kerja</t>
  </si>
  <si>
    <t>6. Submodul Sokongan Kertas Kerja (Peraku)</t>
  </si>
  <si>
    <t>7. Submodul Kelulusan Kertas Kerja</t>
  </si>
  <si>
    <t>8. Submodul Laporan Kertas Kerja</t>
  </si>
  <si>
    <t>9. Integrasi maklumat Kertas Kerja dan Permohonan Pembelian (RO)</t>
  </si>
  <si>
    <t>Zaim; Muhammad Arif Irfaan Zakaria; Mohd Faisal Ahmad; Nur Syahirah</t>
  </si>
  <si>
    <t>Muhammad Arif Irfaan Zakaria; Mohd Faisal Ahmad; Nur Syahirah</t>
  </si>
  <si>
    <t>UAT</t>
  </si>
  <si>
    <t>12. FAT</t>
  </si>
  <si>
    <t>FAT</t>
  </si>
  <si>
    <t>13. Go Live</t>
  </si>
  <si>
    <t>Development</t>
  </si>
  <si>
    <t>1. Modul Akaun Belum Terima</t>
  </si>
  <si>
    <t>Mohd Faisal Ahmad; Helmi Rajab;</t>
  </si>
  <si>
    <t>2. Modul Kawalan Bajet</t>
  </si>
  <si>
    <t>3. Modul Akaun Belum Bayar</t>
  </si>
  <si>
    <t>4. Modul EFT</t>
  </si>
  <si>
    <t>5. Modul Pengurusan Tunai</t>
  </si>
  <si>
    <t>6. Modul Penyata Kewangan</t>
  </si>
  <si>
    <t>7. Modul Perolehan</t>
  </si>
  <si>
    <t>8. Modul Lejar Am</t>
  </si>
  <si>
    <t>1. Modul Pengurusan Aset</t>
  </si>
  <si>
    <t>Mohd Faisal Ahmad; Muhammad Arif Irfaan Zakaria; Suhana Abu Yasir;</t>
  </si>
  <si>
    <t>MyPayroll</t>
  </si>
  <si>
    <t>1. Modul Pengurusan Gaji</t>
  </si>
  <si>
    <t>System testing - Pre UAT</t>
  </si>
  <si>
    <t>Za'im Hazwan Bin Zainal; En Musa</t>
  </si>
  <si>
    <t>Mohd Faisal Ahmad; Siti Nur Syahirah Osman; En Musa</t>
  </si>
  <si>
    <t>Go Live</t>
  </si>
  <si>
    <t>Delivery the Go Live and get the signoff</t>
  </si>
  <si>
    <t>Client</t>
  </si>
  <si>
    <t>YIK</t>
  </si>
  <si>
    <t>Start Date</t>
  </si>
  <si>
    <t>End Date</t>
  </si>
  <si>
    <t>Projek ID</t>
  </si>
  <si>
    <t>Projek Name</t>
  </si>
  <si>
    <t>MTIBSAGA</t>
  </si>
  <si>
    <t>MTIBIHR</t>
  </si>
  <si>
    <t>Warranty</t>
  </si>
  <si>
    <t>UNISIRAJ</t>
  </si>
  <si>
    <t>YIPS</t>
  </si>
  <si>
    <t>LKTNSAGA001</t>
  </si>
  <si>
    <t>LKTNENH002</t>
  </si>
  <si>
    <t>FRIMSAGA001</t>
  </si>
  <si>
    <t>ISNSAGA001</t>
  </si>
  <si>
    <t>LAMSAGA001</t>
  </si>
  <si>
    <t>MPOBSAGA001</t>
  </si>
  <si>
    <t>MSNSAGA001</t>
  </si>
  <si>
    <t>UNISIRAJSAGA001</t>
  </si>
  <si>
    <t>YIKSAGA001</t>
  </si>
  <si>
    <t>YIPSSAGA001</t>
  </si>
  <si>
    <t>FRIMSAGA002</t>
  </si>
  <si>
    <t>FRIMSAGA003</t>
  </si>
  <si>
    <t>FRIMSAGA004</t>
  </si>
  <si>
    <t>Projek Status</t>
  </si>
  <si>
    <t>SAGA FRIM</t>
  </si>
  <si>
    <t>SAGA MTIB</t>
  </si>
  <si>
    <t>IHR MTIB</t>
  </si>
  <si>
    <t>ENHANCEMENT LKTN</t>
  </si>
  <si>
    <t>SAGA LKTN</t>
  </si>
  <si>
    <t>SAGA MPOB</t>
  </si>
  <si>
    <t>SAGA YIPS</t>
  </si>
  <si>
    <t>SAGA ISN</t>
  </si>
  <si>
    <t>ISNSAGA002</t>
  </si>
  <si>
    <t>ISNSAGA003</t>
  </si>
  <si>
    <t>ISNSAGA004</t>
  </si>
  <si>
    <t>KTPCEMTC001</t>
  </si>
  <si>
    <t>KTPCMYKPI001</t>
  </si>
  <si>
    <t>EMAINTENANCE KTPC</t>
  </si>
  <si>
    <t>MYKPI KTPC</t>
  </si>
  <si>
    <t>SAGA LAM</t>
  </si>
  <si>
    <t>LAMSAGA003</t>
  </si>
  <si>
    <t>LKTNSAGA004</t>
  </si>
  <si>
    <t>LKTNENH001</t>
  </si>
  <si>
    <t>MPOBSAGA005</t>
  </si>
  <si>
    <t>ASET STOR MSN</t>
  </si>
  <si>
    <t>ATK MSN</t>
  </si>
  <si>
    <t>MSNATK001</t>
  </si>
  <si>
    <t>MSNASETOR001</t>
  </si>
  <si>
    <t>MTIBSAGA006</t>
  </si>
  <si>
    <t>MTIBIHR001</t>
  </si>
  <si>
    <t>SAGA KUIPS</t>
  </si>
  <si>
    <t>YIKSAGA008</t>
  </si>
  <si>
    <t>KUIPSSAGA007</t>
  </si>
  <si>
    <t>YIPSSAGA009</t>
  </si>
  <si>
    <t>Kontrak Status</t>
  </si>
  <si>
    <t>Tamat</t>
  </si>
  <si>
    <t>Aktif</t>
  </si>
  <si>
    <t>CANANG</t>
  </si>
  <si>
    <t>CANANGEPROC001</t>
  </si>
  <si>
    <t>INTEGRASI EPROC MTIB</t>
  </si>
  <si>
    <t>MARA</t>
  </si>
  <si>
    <t>MARACLAIM001</t>
  </si>
  <si>
    <t>MARAMYOT002</t>
  </si>
  <si>
    <t>MYOT MARA</t>
  </si>
  <si>
    <t>MyOT</t>
  </si>
  <si>
    <t>MyClaim Fasa 2</t>
  </si>
  <si>
    <t>PAT</t>
  </si>
  <si>
    <t>Training</t>
  </si>
  <si>
    <t>Luqmanulhakim</t>
  </si>
  <si>
    <t>MYCLAIM MARA</t>
  </si>
  <si>
    <t>On Cloud</t>
  </si>
  <si>
    <t>On Premise</t>
  </si>
  <si>
    <t>Technology</t>
  </si>
  <si>
    <t>Development &amp; Customization</t>
  </si>
  <si>
    <t>UAT Sign-off</t>
  </si>
  <si>
    <t>PAT Sign-off</t>
  </si>
  <si>
    <t>FAT Sign-off</t>
  </si>
  <si>
    <t>10. Training</t>
  </si>
  <si>
    <t>8. UAT</t>
  </si>
  <si>
    <t>11. Go Live</t>
  </si>
  <si>
    <t>7. UAT</t>
  </si>
  <si>
    <t>9. Training</t>
  </si>
  <si>
    <t>10. UAT</t>
  </si>
  <si>
    <t>12. Training</t>
  </si>
  <si>
    <t xml:space="preserve">6. Doc UAT:
- Penyediaan skrip &amp; Dokumen
- Serahan Dokumen
- Sign-off - 18/06-21/06
</t>
  </si>
  <si>
    <t>7. Doc UAT:
- Penyediaan skrip &amp; Dokumen
- Serahan Dokumen
- Sign-off</t>
  </si>
  <si>
    <t>9. Doc UAT:
- Penyediaan skrip &amp; Dokumen
- Serahan Dokumen
- Sign-off</t>
  </si>
  <si>
    <t>5. Doc UAT:
- Penyediaan skrip &amp; Dokumen
- Serahan Dokumen
- Sign-off</t>
  </si>
  <si>
    <t>6. UAT</t>
  </si>
  <si>
    <t>7. FAT</t>
  </si>
  <si>
    <t>8. Training</t>
  </si>
  <si>
    <t>10. Doc UAT:
- Penyediaan skrip &amp; Dokumen
- Serahan Dokumen
- Sign-off</t>
  </si>
  <si>
    <t>13. Training</t>
  </si>
  <si>
    <t>14. Go Live</t>
  </si>
  <si>
    <t>11. UAT</t>
  </si>
  <si>
    <t>Actual Start Date</t>
  </si>
  <si>
    <t>Actual End Date</t>
  </si>
  <si>
    <t>Plan Start Date</t>
  </si>
  <si>
    <t>Plan End Date</t>
  </si>
  <si>
    <t>Target Start Date</t>
  </si>
  <si>
    <t>Target End Date</t>
  </si>
  <si>
    <t>Conduct online</t>
  </si>
  <si>
    <t>Conduct onsite</t>
  </si>
  <si>
    <t>Kemaskini Kod Akaun</t>
  </si>
  <si>
    <t>Mengemaskini baki awal akaun pada 1 Januari 2026</t>
  </si>
  <si>
    <t>Templat untuk resit dan baucer</t>
  </si>
  <si>
    <t>Wujudkan butang carian</t>
  </si>
  <si>
    <t>Laporan dan fail boleh ditukar dalam bentuk pdf dan excel</t>
  </si>
  <si>
    <t>Outstanding Development</t>
  </si>
  <si>
    <t>Target Date</t>
  </si>
  <si>
    <t>PIC</t>
  </si>
  <si>
    <t>Faisal</t>
  </si>
  <si>
    <t>Modul</t>
  </si>
  <si>
    <t>Proses</t>
  </si>
  <si>
    <t>Definisi</t>
  </si>
  <si>
    <t>Task</t>
  </si>
  <si>
    <t>% Progress</t>
  </si>
  <si>
    <t>Plan</t>
  </si>
  <si>
    <t>Modul Lejar Am</t>
  </si>
  <si>
    <t>Kod Akaun</t>
  </si>
  <si>
    <t>Membolehkan kod akaun ditambah mengikut keperluan dan mengikut format standard SAGA</t>
  </si>
  <si>
    <t>Data migrasi &amp; Configuration</t>
  </si>
  <si>
    <t>Faisal / Helmi</t>
  </si>
  <si>
    <t>Tahun Kewangan</t>
  </si>
  <si>
    <t>Tahun kewangan digunakan bagi mengawal kemasukan data mengikut tarikh, bulan dan tahun.</t>
  </si>
  <si>
    <t>Setup &amp; Configuration</t>
  </si>
  <si>
    <t>Jurnal AM</t>
  </si>
  <si>
    <t>pelarasan bagi kod akaun untuk transaksi perakaunan.</t>
  </si>
  <si>
    <t>Program dev &amp; configuration</t>
  </si>
  <si>
    <t>Laporan</t>
  </si>
  <si>
    <t>Laporan kewangan mengikut Keperluan SAGA berdasarkan kod akaun dan transaksi yang berlaku di dalam organisasi.</t>
  </si>
  <si>
    <t>Modul Akaun Belum Bayar</t>
  </si>
  <si>
    <t>Penyelenggaraan Pemiutang</t>
  </si>
  <si>
    <t>Penyimpanan maklumat pemiutang/pembekal yang terlibat dalam proses pembayaran.</t>
  </si>
  <si>
    <t>Pesanan Tempatan (LO)</t>
  </si>
  <si>
    <t>Cetakan pesanan tempatan untuk diserahkan kepada pembekal bagi membolehkan proses pembekalan dilakukan oleh pembekal.</t>
  </si>
  <si>
    <t>Customization format</t>
  </si>
  <si>
    <t>Daftar Bil / Inbois</t>
  </si>
  <si>
    <t>Inbois daripada pembekal perlu disimpan sebagai bukti permohonan bayaran daripada YIK kepada pembekal.</t>
  </si>
  <si>
    <t>Nota Debit / Kredit</t>
  </si>
  <si>
    <t>Cetakan nota debit/kredit akan diberikan kepada pemiutang sebagai bukti penambahan atau pengurangan bayaran.</t>
  </si>
  <si>
    <t>Baucer</t>
  </si>
  <si>
    <t>Baucar bayaran dijana untuk proses pembayaran.</t>
  </si>
  <si>
    <t>Laporan pesanan belian/daftar bil tertunggak, baki pemiutang dan laporan-laporan berkaitan akaun belum bayar.</t>
  </si>
  <si>
    <t>Pembetulan</t>
  </si>
  <si>
    <t>Sebarang proses akaun belum bayar</t>
  </si>
  <si>
    <t>Penyelenggaraan Penghutang</t>
  </si>
  <si>
    <t>Maklumat penghutang mengikut kategori</t>
  </si>
  <si>
    <t>Data migrasi &amp; Setup</t>
  </si>
  <si>
    <t>Bil / Inbois</t>
  </si>
  <si>
    <t>Cetakan inbois/ bil akan diberikan kepada pelanggan sebagai bukti transaksi jualan.</t>
  </si>
  <si>
    <t>Resit</t>
  </si>
  <si>
    <t>Cetakan resit adalah untuk bukti bayaran kepada inbois atau bayaran jualan telah berjaya dilakukan</t>
  </si>
  <si>
    <t>Customization format
Resit dibahagi kepada 2 jenis bil dan hasil.</t>
  </si>
  <si>
    <t>Cetakan nota debit/ kredit akan diberikan kepada penghutang sebagai bukti penambahan atau pengurangan bayaran.</t>
  </si>
  <si>
    <t>Laporan untuk akaun belum terima - untuk menyemak senarai baki hutang dan aging penghutang.</t>
  </si>
  <si>
    <t>Modul EFT</t>
  </si>
  <si>
    <t>Proses Bayaran EFT</t>
  </si>
  <si>
    <t>1. Proses bayaran kepada pembekal dengan menggunakan kaedah Electric Funds Transfer (EFT).
2. Proses muat turun file EFT selepas membuat pembayaran menggunakan kaedah EFT.
3. Proses pembatalan no EFT bagi transaksi yang belum berlaku di bank</t>
  </si>
  <si>
    <t>Bayaran Manual &amp; Janaan Cek</t>
  </si>
  <si>
    <t>Proses bayaran kepada pembekal dengan menggunakan cetakan cek.</t>
  </si>
  <si>
    <t>Modul Pengurusan Tunai</t>
  </si>
  <si>
    <t>Bank slip</t>
  </si>
  <si>
    <t>Bank in slip yang diterima dari bank perlu disimpan untuk tujuan penyesuaian bank.</t>
  </si>
  <si>
    <t>Penyata penyesuaian bank</t>
  </si>
  <si>
    <t>Semakan transaksi buku tunai di sistern dengan transaksi di bank dilakukan bagi perlu mengesahkan proses di sistem dan transaksi keluar masuk di bank adalah sama. Sekiranya terdapat transaksi di bank tetapi tiada di sistem, siasatan boleh dilakukan sama ada transaksi tersebut adalah betul atau tidak.</t>
  </si>
  <si>
    <t>Laporan buku tunai</t>
  </si>
  <si>
    <t>Laporan transaksi buku tunai dikeluarkan sebagai sokongan.</t>
  </si>
  <si>
    <t>Modul Penyata Kewangan</t>
  </si>
  <si>
    <t>Penyata Kewangan</t>
  </si>
  <si>
    <t>Laporan kewangan mengikut keperluan SAGA berdasarkan kod akaun dan transaksi yang berlaku di dalam organisasi.</t>
  </si>
  <si>
    <t>Modul Pengurusan Aset</t>
  </si>
  <si>
    <t>Pendaftaran Aset</t>
  </si>
  <si>
    <t xml:space="preserve">Setiap aset yang berada di YIK perlu didaftarkan. </t>
  </si>
  <si>
    <t>Suhana</t>
  </si>
  <si>
    <t>Terimaan dan Kemaskini Aset</t>
  </si>
  <si>
    <t>Maklumat terperinci aset perlu dikemaskini.</t>
  </si>
  <si>
    <t>Penempatan Aset</t>
  </si>
  <si>
    <t>Aset akan ditempatkan di lokasi yang dikhaskan dan pegawai bertanggungjawab terhadap aset akan ditugaskan.</t>
  </si>
  <si>
    <t>Aset Sumbangan</t>
  </si>
  <si>
    <t>Aset yang diterima Oleh YIK hasil daripada sumbangan pihak tertentu</t>
  </si>
  <si>
    <t>Proses Susutnilai</t>
  </si>
  <si>
    <t>Setiap aset akan disusutnilaikan dan pengiraan susutnilai berdasarkan kategori aset.</t>
  </si>
  <si>
    <t>Harta Modal</t>
  </si>
  <si>
    <t>Aset alih di YIK yang boleh dipermodalkan.</t>
  </si>
  <si>
    <t>Barkod</t>
  </si>
  <si>
    <t>Barkod akan dilabelkan boleh pada setiap aset yang berada di YIK.</t>
  </si>
  <si>
    <t>Pelupusan Aset</t>
  </si>
  <si>
    <t>Aset boleh dilupuskan. Nilai pelupusan perlu direkod kerana terlibat di dalam laporan kewangan.</t>
  </si>
  <si>
    <t>Kehilangan/ Hapuskira Aset</t>
  </si>
  <si>
    <t>Kehilangan aset akan direkod sebagai hapuskira. Nilai hapus kira perlu direkod kerana terlibat di dalam laporan kewangan.</t>
  </si>
  <si>
    <t>Insurans Aset</t>
  </si>
  <si>
    <t>Terdapat aset yang mempunyai insurans sebagai pelindungan kepada aset tersebut.</t>
  </si>
  <si>
    <t>Laporan Aset</t>
  </si>
  <si>
    <t>Laporan KEW. PA mengikut standard kerajaan boleh dijana</t>
  </si>
  <si>
    <t>Penyelenggaraan Aset</t>
  </si>
  <si>
    <t>Aset yang perlu diselenggara, maklumat selenggara perlu disimpan sebagal rekod</t>
  </si>
  <si>
    <t>Integrasi Sistem</t>
  </si>
  <si>
    <t>Sistem aset akan berintegrasi dengan sistem perolehan dan sistem kewangan.</t>
  </si>
  <si>
    <t>Modul Kawalan Pengguna &amp; Pentadbiran Sistem</t>
  </si>
  <si>
    <t>Pendaftaran Pengguna</t>
  </si>
  <si>
    <t>Membolehkan Pentadbir Sistem menambah, mengemaskini dan mengaktifkan pengguna baru.</t>
  </si>
  <si>
    <t>Login &amp; SSO</t>
  </si>
  <si>
    <t>Membolehkan pengguna untuk log masuk ke SSO (Single-Sign-On) untuk akses ke modul.</t>
  </si>
  <si>
    <t>Akses Modul</t>
  </si>
  <si>
    <t>Membolehkan Pegawai Teknologi Maklumat untuk memberikan akses bagi modul dan submodul pada pengguna.</t>
  </si>
  <si>
    <t>Konfigurasi Capaian</t>
  </si>
  <si>
    <t>Membolehkan Super Admin memberikan capaian bagi modul yang terdapat dalam sistem.</t>
  </si>
  <si>
    <t>Audit Trail</t>
  </si>
  <si>
    <t>Pentadbir Sistem boleh mengeluarkan laporan audit trail bagi mengetahui pegawai yang bertanggungjawab bagi transaksi yang berlaku</t>
  </si>
  <si>
    <t>Peringkat Kelulusan</t>
  </si>
  <si>
    <t>Membolehkan Pentadbir Sistem memberi akses untuk kelulusan bagi setiap modul yang melibatkan proses kelulusan.</t>
  </si>
  <si>
    <t>Modul Pengurusan Gaji</t>
  </si>
  <si>
    <t>Pendaftaran Kakitangan</t>
  </si>
  <si>
    <t>Maklumat kakitangan boleh didaftarkan dalam sistem pengurusan gaji.</t>
  </si>
  <si>
    <t>Rafizul</t>
  </si>
  <si>
    <t>Maklumat Potongan</t>
  </si>
  <si>
    <t>Maklumat potongan akan dimasukkan dalam sistern.</t>
  </si>
  <si>
    <t>Janaan Gaji</t>
  </si>
  <si>
    <t>Janaan gaji dibuat mengikut bulan.</t>
  </si>
  <si>
    <t>Elaun dan Bonus</t>
  </si>
  <si>
    <t>Maklumat elaun dan bonus akan dimasukkan dalam sistem.</t>
  </si>
  <si>
    <t>Laporan berkaitan maklumat gaji boleh dijana di dalam sistem.</t>
  </si>
  <si>
    <t>Modul integrasi akan hantar jumal dan baucar ke sistem kewangan.</t>
  </si>
  <si>
    <t>Modul Kawalan Bajet</t>
  </si>
  <si>
    <t>Penyelenggaraan Belanjawan</t>
  </si>
  <si>
    <t>Penyediaan peruntukan awal bagi setiap dana dan bahagian/unitnokasi mengikut senarai kod akaun yang telah ditetapkan Oleh Jabatan Kewangan.</t>
  </si>
  <si>
    <t>Peruntukan</t>
  </si>
  <si>
    <t>Membolehkan peruntukan perbelanjaan dan pendapatan disimpan di dalam sistem untuk tujuan kawalan perbelanjaan mengikut peruntukan yang diperakukan.</t>
  </si>
  <si>
    <t>Anggaran Pendapatan</t>
  </si>
  <si>
    <t>Membolehkan anggaran pendapatan disediakan dan disimpan di dalam sistem untuk tujuan unjuran pendapatan yang diperakukan.</t>
  </si>
  <si>
    <t>Viremen</t>
  </si>
  <si>
    <t>Membolehkan permohonan dan kelulusan bagi pembetulan pindahan/peruntukan jabatan sedia ada samada melibatkan perubahan perubahan butiran, sekatan dan peruntukan.</t>
  </si>
  <si>
    <t>Laporan belanjawan menunjukkan pergerakan peruntukan, komitmen, tanggungan dan jumlah sebenar belanja.</t>
  </si>
  <si>
    <t>Modul Perolehan</t>
  </si>
  <si>
    <t>Borang Kebenaran</t>
  </si>
  <si>
    <t>Permohonan rasmi yang dikemukakan untuk mendapatkan kelulusan perolehan mengikut keperluan.</t>
  </si>
  <si>
    <t>Irfaan</t>
  </si>
  <si>
    <t>Pengesahan Terimaan (DO)</t>
  </si>
  <si>
    <t>Cetakan pengesahan terimaan (DO) yang diberikan Oleh pembekal bagi melakukan proses pengesahan penerimaan barang.</t>
  </si>
  <si>
    <t>Penilaian Prestasi</t>
  </si>
  <si>
    <t>Skor pemarkahan penilaian prestasi pembekal yang dilakukan selepas pengesahan terimaan bagi menambahbaik proses pesanan belian pembekal.</t>
  </si>
  <si>
    <t>Task Name</t>
  </si>
  <si>
    <t>Duration</t>
  </si>
  <si>
    <t>Kick-off</t>
  </si>
  <si>
    <t>GAP Analysis &amp; URS</t>
  </si>
  <si>
    <t>GoLive</t>
  </si>
  <si>
    <t>URS Sign-Off</t>
  </si>
  <si>
    <t>UAT Sign-Off</t>
  </si>
  <si>
    <t>PAT Sign-Off</t>
  </si>
  <si>
    <t>FAT Sign-Off</t>
  </si>
  <si>
    <t>Task Name - LKTN ENH</t>
  </si>
  <si>
    <t>SAGA YIK DEV</t>
  </si>
  <si>
    <t>Project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</si>
</sst>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00_-;\-&quot;$&quot;* #,##0.00_-;_-&quot;$&quot;* &quot;-&quot;??_-;_-@_-"/>
    <numFmt numFmtId="165" formatCode="mm/dd/yy;@"/>
    <numFmt numFmtId="166" formatCode="&quot;$&quot;#,##0"/>
    <numFmt numFmtId="167" formatCode="[Blue]#&quot; Days Remain&quot;;[Red]#&quot; Days Late&quot;;[Green]#&quot;Today&quot;"/>
    <numFmt numFmtId="168" formatCode="[$-14409]dd/mm/yyyy;@"/>
    <numFmt numFmtId="169" formatCode="[$-14409]d/m/yyyy;@"/>
  </numFmts>
  <fonts count="50"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8"/>
      <name val="Verdana"/>
      <family val="2"/>
    </font>
    <font>
      <u/>
      <sz val="12"/>
      <color indexed="12"/>
      <name val="Calibri"/>
      <family val="2"/>
    </font>
    <font>
      <sz val="12"/>
      <color theme="1"/>
      <name val="Century Gothic"/>
      <family val="1"/>
    </font>
    <font>
      <sz val="12"/>
      <color indexed="8"/>
      <name val="Century Gothic"/>
      <family val="1"/>
    </font>
    <font>
      <b/>
      <sz val="10"/>
      <color indexed="9"/>
      <name val="Century Gothic"/>
      <family val="1"/>
    </font>
    <font>
      <sz val="10"/>
      <color indexed="8"/>
      <name val="Century Gothic"/>
      <family val="1"/>
    </font>
    <font>
      <b/>
      <sz val="12"/>
      <color rgb="FF6A3AFF"/>
      <name val="Century Gothic"/>
      <family val="1"/>
    </font>
    <font>
      <b/>
      <sz val="11"/>
      <color rgb="FF00B050"/>
      <name val="Century Gothic"/>
      <family val="1"/>
    </font>
    <font>
      <b/>
      <sz val="11"/>
      <color rgb="FFC00000"/>
      <name val="Century Gothic"/>
      <family val="1"/>
    </font>
    <font>
      <b/>
      <sz val="11"/>
      <color rgb="FFED7C00"/>
      <name val="Century Gothic"/>
      <family val="1"/>
    </font>
    <font>
      <b/>
      <sz val="11"/>
      <color theme="7" tint="-0.249977111117893"/>
      <name val="Century Gothic"/>
      <family val="1"/>
    </font>
    <font>
      <sz val="10"/>
      <color theme="1"/>
      <name val="Century Gothic"/>
      <family val="1"/>
    </font>
    <font>
      <sz val="22"/>
      <color theme="1"/>
      <name val="Arial"/>
      <family val="2"/>
    </font>
    <font>
      <b/>
      <sz val="20"/>
      <color theme="0" tint="-0.499984740745262"/>
      <name val="Century Gothic"/>
      <family val="1"/>
    </font>
    <font>
      <sz val="12"/>
      <color theme="1"/>
      <name val="Arial"/>
      <family val="2"/>
    </font>
    <font>
      <sz val="11"/>
      <color theme="1"/>
      <name val="Calibri"/>
      <family val="2"/>
      <scheme val="minor"/>
    </font>
    <font>
      <sz val="20"/>
      <color theme="1"/>
      <name val="Century Gothic"/>
      <family val="1"/>
    </font>
    <font>
      <sz val="22"/>
      <color theme="1"/>
      <name val="Century Gothic"/>
      <family val="1"/>
    </font>
    <font>
      <b/>
      <sz val="20"/>
      <color theme="1" tint="0.34998626667073579"/>
      <name val="Century Gothic"/>
      <family val="1"/>
    </font>
    <font>
      <sz val="18"/>
      <color theme="1" tint="0.34998626667073579"/>
      <name val="Century Gothic"/>
      <family val="2"/>
    </font>
    <font>
      <b/>
      <sz val="22"/>
      <color theme="1" tint="0.34998626667073579"/>
      <name val="Century Gothic"/>
      <family val="1"/>
    </font>
    <font>
      <b/>
      <u/>
      <sz val="22"/>
      <color theme="0"/>
      <name val="Century Gothic"/>
      <family val="2"/>
    </font>
    <font>
      <b/>
      <sz val="11"/>
      <color theme="1"/>
      <name val="Calibri"/>
      <family val="2"/>
      <scheme val="minor"/>
    </font>
    <font>
      <b/>
      <sz val="10"/>
      <color theme="1"/>
      <name val="Calibri"/>
      <family val="2"/>
      <scheme val="minor"/>
    </font>
    <font>
      <sz val="10"/>
      <color theme="1"/>
      <name val="Calibri"/>
      <family val="2"/>
      <scheme val="minor"/>
    </font>
    <font>
      <b/>
      <sz val="10"/>
      <name val="Century Gothic"/>
      <family val="1"/>
    </font>
    <font>
      <sz val="11"/>
      <color rgb="FF3F3F76"/>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b/>
      <sz val="11"/>
      <color rgb="FFFFFFFF"/>
      <name val="Calibri"/>
      <family val="2"/>
      <scheme val="minor"/>
    </font>
    <font>
      <sz val="11"/>
      <color rgb="FF000000"/>
      <name val="Calibri"/>
      <family val="2"/>
      <scheme val="minor"/>
    </font>
    <font>
      <sz val="11"/>
      <name val="Calibri"/>
      <family val="2"/>
      <scheme val="minor"/>
    </font>
    <font>
      <sz val="8"/>
      <name val="Calibri"/>
      <family val="2"/>
      <scheme val="minor"/>
    </font>
    <font>
      <b/>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s>
  <fills count="79">
    <fill>
      <patternFill patternType="none"/>
    </fill>
    <fill>
      <patternFill patternType="gray125"/>
    </fill>
    <fill>
      <patternFill patternType="solid">
        <fgColor theme="4"/>
        <bgColor indexed="64"/>
      </patternFill>
    </fill>
    <fill>
      <patternFill patternType="solid">
        <fgColor theme="8"/>
        <bgColor indexed="64"/>
      </patternFill>
    </fill>
    <fill>
      <patternFill patternType="solid">
        <fgColor rgb="FF00B050"/>
        <bgColor indexed="64"/>
      </patternFill>
    </fill>
    <fill>
      <patternFill patternType="solid">
        <fgColor rgb="FF92D050"/>
        <bgColor indexed="64"/>
      </patternFill>
    </fill>
    <fill>
      <patternFill patternType="solid">
        <fgColor rgb="FFC00000"/>
        <bgColor indexed="64"/>
      </patternFill>
    </fill>
    <fill>
      <patternFill patternType="solid">
        <fgColor rgb="FFFF0000"/>
        <bgColor indexed="64"/>
      </patternFill>
    </fill>
    <fill>
      <patternFill patternType="solid">
        <fgColor rgb="FF732EE0"/>
        <bgColor indexed="64"/>
      </patternFill>
    </fill>
    <fill>
      <patternFill patternType="solid">
        <fgColor theme="8" tint="-0.249977111117893"/>
        <bgColor indexed="64"/>
      </patternFill>
    </fill>
    <fill>
      <patternFill patternType="solid">
        <fgColor theme="7" tint="-0.249977111117893"/>
        <bgColor indexed="64"/>
      </patternFill>
    </fill>
    <fill>
      <patternFill patternType="solid">
        <fgColor rgb="FFED7C00"/>
        <bgColor indexed="64"/>
      </patternFill>
    </fill>
    <fill>
      <patternFill patternType="solid">
        <fgColor rgb="FFF1B93C"/>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E3DAFF"/>
        <bgColor indexed="64"/>
      </patternFill>
    </fill>
    <fill>
      <patternFill patternType="solid">
        <fgColor rgb="FFFFDCE4"/>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rgb="FF00BD32"/>
        <bgColor indexed="64"/>
      </patternFill>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theme="0" tint="-0.249977111117893"/>
        <bgColor indexed="64"/>
      </patternFill>
    </fill>
    <fill>
      <patternFill patternType="solid">
        <fgColor rgb="FF6A3AFF"/>
        <bgColor indexed="64"/>
      </patternFill>
    </fill>
    <fill>
      <patternFill patternType="solid">
        <fgColor rgb="FFFFCC99"/>
      </patternFill>
    </fill>
    <fill>
      <patternFill patternType="solid">
        <fgColor rgb="FF4472C4"/>
        <bgColor rgb="FF4472C4"/>
      </patternFill>
    </fill>
    <fill>
      <patternFill patternType="solid">
        <fgColor rgb="FF2F75B5"/>
        <bgColor rgb="FF000000"/>
      </patternFill>
    </fill>
    <fill>
      <patternFill patternType="solid">
        <fgColor rgb="FFC6EFCE"/>
        <bgColor rgb="FFD9E1F2"/>
      </patternFill>
    </fill>
    <fill>
      <patternFill patternType="solid">
        <fgColor rgb="FFC6E0B4"/>
        <bgColor rgb="FF000000"/>
      </patternFill>
    </fill>
    <fill>
      <patternFill patternType="solid">
        <fgColor rgb="FFC6EFCE"/>
        <bgColor rgb="FF000000"/>
      </patternFill>
    </fill>
    <fill>
      <patternFill patternType="solid">
        <fgColor rgb="FFFFEB9C"/>
        <bgColor rgb="FFD9E1F2"/>
      </patternFill>
    </fill>
    <fill>
      <patternFill patternType="solid">
        <fgColor rgb="FFFFFF00"/>
        <bgColor rgb="FF000000"/>
      </patternFill>
    </fill>
    <fill>
      <patternFill patternType="solid">
        <fgColor rgb="FFFFEB9C"/>
        <bgColor rgb="FF000000"/>
      </patternFill>
    </fill>
    <fill>
      <patternFill patternType="solid">
        <fgColor rgb="FFFFC7CE"/>
        <bgColor rgb="FF000000"/>
      </patternFill>
    </fill>
    <fill>
      <patternFill patternType="solid">
        <fgColor rgb="FFF8CBAD"/>
        <bgColor rgb="FF000000"/>
      </patternFill>
    </fill>
    <fill>
      <patternFill patternType="solid">
        <fgColor theme="5" tint="0.59999389629810485"/>
        <bgColor rgb="FF000000"/>
      </patternFill>
    </fill>
    <fill>
      <patternFill patternType="solid">
        <fgColor rgb="FFFFC7CE"/>
        <bgColor rgb="FFD9E1F2"/>
      </patternFill>
    </fill>
    <fill>
      <patternFill patternType="solid">
        <fgColor rgb="FFBDD7EE"/>
        <bgColor rgb="FF000000"/>
      </patternFill>
    </fill>
    <fill>
      <patternFill patternType="solid">
        <fgColor rgb="FFD6DCE4"/>
        <bgColor rgb="FF000000"/>
      </patternFill>
    </fill>
    <fill>
      <patternFill patternType="solid">
        <fgColor rgb="FFD9E1F2"/>
        <bgColor rgb="FFD9E1F2"/>
      </patternFill>
    </fill>
    <fill>
      <patternFill patternType="solid">
        <fgColor theme="4"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59999389629810485"/>
        <bgColor rgb="FF000000"/>
      </patternFill>
    </fill>
    <fill>
      <patternFill patternType="solid">
        <fgColor theme="0" tint="-0.14999847407452621"/>
        <bgColor indexed="64"/>
      </patternFill>
    </fill>
    <fill>
      <patternFill patternType="solid">
        <fgColor theme="0" tint="-0.34998626667073579"/>
        <bgColor indexed="64"/>
      </patternFill>
    </fill>
  </fills>
  <borders count="19">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6">
    <xf numFmtId="0" fontId="0" fillId="0" borderId="0"/>
    <xf numFmtId="164" fontId="3" fillId="0" borderId="0" applyFont="0" applyFill="0" applyBorder="0" applyAlignment="0" applyProtection="0"/>
    <xf numFmtId="0" fontId="5" fillId="0" borderId="0" applyNumberFormat="0" applyFill="0" applyBorder="0" applyAlignment="0" applyProtection="0">
      <alignment vertical="top"/>
      <protection locked="0"/>
    </xf>
    <xf numFmtId="0" fontId="19" fillId="0" borderId="0"/>
    <xf numFmtId="0" fontId="30" fillId="27" borderId="8" applyNumberFormat="0" applyAlignment="0" applyProtection="0"/>
    <xf numFmtId="0" fontId="39" fillId="0" borderId="0" applyNumberFormat="0" applyFill="0" applyBorder="0" applyAlignment="0" applyProtection="0"/>
    <xf numFmtId="0" fontId="40" fillId="0" borderId="11" applyNumberFormat="0" applyFill="0" applyAlignment="0" applyProtection="0"/>
    <xf numFmtId="0" fontId="41" fillId="0" borderId="12" applyNumberFormat="0" applyFill="0" applyAlignment="0" applyProtection="0"/>
    <xf numFmtId="0" fontId="42" fillId="0" borderId="13" applyNumberFormat="0" applyFill="0" applyAlignment="0" applyProtection="0"/>
    <xf numFmtId="0" fontId="42" fillId="0" borderId="0" applyNumberFormat="0" applyFill="0" applyBorder="0" applyAlignment="0" applyProtection="0"/>
    <xf numFmtId="0" fontId="31" fillId="44" borderId="0" applyNumberFormat="0" applyBorder="0" applyAlignment="0" applyProtection="0"/>
    <xf numFmtId="0" fontId="32" fillId="45" borderId="0" applyNumberFormat="0" applyBorder="0" applyAlignment="0" applyProtection="0"/>
    <xf numFmtId="0" fontId="33" fillId="46" borderId="0" applyNumberFormat="0" applyBorder="0" applyAlignment="0" applyProtection="0"/>
    <xf numFmtId="0" fontId="43" fillId="47" borderId="14" applyNumberFormat="0" applyAlignment="0" applyProtection="0"/>
    <xf numFmtId="0" fontId="44" fillId="47" borderId="8" applyNumberFormat="0" applyAlignment="0" applyProtection="0"/>
    <xf numFmtId="0" fontId="45" fillId="0" borderId="15" applyNumberFormat="0" applyFill="0" applyAlignment="0" applyProtection="0"/>
    <xf numFmtId="0" fontId="46" fillId="48" borderId="16" applyNumberFormat="0" applyAlignment="0" applyProtection="0"/>
    <xf numFmtId="0" fontId="47" fillId="0" borderId="0" applyNumberFormat="0" applyFill="0" applyBorder="0" applyAlignment="0" applyProtection="0"/>
    <xf numFmtId="0" fontId="48" fillId="0" borderId="0" applyNumberFormat="0" applyFill="0" applyBorder="0" applyAlignment="0" applyProtection="0"/>
    <xf numFmtId="0" fontId="26" fillId="0" borderId="18" applyNumberFormat="0" applyFill="0" applyAlignment="0" applyProtection="0"/>
    <xf numFmtId="0" fontId="49" fillId="50" borderId="0" applyNumberFormat="0" applyBorder="0" applyAlignment="0" applyProtection="0"/>
    <xf numFmtId="0" fontId="2" fillId="51" borderId="0" applyNumberFormat="0" applyBorder="0" applyAlignment="0" applyProtection="0"/>
    <xf numFmtId="0" fontId="2" fillId="52" borderId="0" applyNumberFormat="0" applyBorder="0" applyAlignment="0" applyProtection="0"/>
    <xf numFmtId="0" fontId="2" fillId="53" borderId="0" applyNumberFormat="0" applyBorder="0" applyAlignment="0" applyProtection="0"/>
    <xf numFmtId="0" fontId="49" fillId="54" borderId="0" applyNumberFormat="0" applyBorder="0" applyAlignment="0" applyProtection="0"/>
    <xf numFmtId="0" fontId="2"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49"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49" fillId="62"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49" fillId="66" borderId="0" applyNumberFormat="0" applyBorder="0" applyAlignment="0" applyProtection="0"/>
    <xf numFmtId="0" fontId="2" fillId="67" borderId="0" applyNumberFormat="0" applyBorder="0" applyAlignment="0" applyProtection="0"/>
    <xf numFmtId="0" fontId="2" fillId="68" borderId="0" applyNumberFormat="0" applyBorder="0" applyAlignment="0" applyProtection="0"/>
    <xf numFmtId="0" fontId="2" fillId="69" borderId="0" applyNumberFormat="0" applyBorder="0" applyAlignment="0" applyProtection="0"/>
    <xf numFmtId="0" fontId="49" fillId="70" borderId="0" applyNumberFormat="0" applyBorder="0" applyAlignment="0" applyProtection="0"/>
    <xf numFmtId="0" fontId="2" fillId="71" borderId="0" applyNumberFormat="0" applyBorder="0" applyAlignment="0" applyProtection="0"/>
    <xf numFmtId="0" fontId="2" fillId="72" borderId="0" applyNumberFormat="0" applyBorder="0" applyAlignment="0" applyProtection="0"/>
    <xf numFmtId="0" fontId="2" fillId="73" borderId="0" applyNumberFormat="0" applyBorder="0" applyAlignment="0" applyProtection="0"/>
    <xf numFmtId="0" fontId="2" fillId="0" borderId="0"/>
    <xf numFmtId="0" fontId="2" fillId="49" borderId="17" applyNumberFormat="0" applyFont="0" applyAlignment="0" applyProtection="0"/>
  </cellStyleXfs>
  <cellXfs count="295">
    <xf numFmtId="0" fontId="0" fillId="0" borderId="0" xfId="0"/>
    <xf numFmtId="0" fontId="6" fillId="0" borderId="0" xfId="0" applyFont="1"/>
    <xf numFmtId="0" fontId="7" fillId="0" borderId="0" xfId="0" applyFont="1"/>
    <xf numFmtId="0" fontId="8" fillId="0" borderId="0" xfId="0" applyFont="1" applyAlignment="1">
      <alignment vertical="center" wrapText="1"/>
    </xf>
    <xf numFmtId="0" fontId="8" fillId="0" borderId="0" xfId="0" applyFont="1" applyAlignment="1">
      <alignment horizontal="center" vertical="center" wrapText="1"/>
    </xf>
    <xf numFmtId="0" fontId="10" fillId="0" borderId="0" xfId="0" applyFont="1" applyAlignment="1">
      <alignment horizontal="center" vertical="center"/>
    </xf>
    <xf numFmtId="166" fontId="11" fillId="0" borderId="0" xfId="0" applyNumberFormat="1" applyFont="1" applyAlignment="1">
      <alignment vertical="center"/>
    </xf>
    <xf numFmtId="1" fontId="12" fillId="0" borderId="0" xfId="0" applyNumberFormat="1" applyFont="1" applyAlignment="1">
      <alignment horizontal="center" vertical="center"/>
    </xf>
    <xf numFmtId="1" fontId="13" fillId="0" borderId="0" xfId="0" applyNumberFormat="1" applyFont="1" applyAlignment="1">
      <alignment horizontal="center" vertical="center"/>
    </xf>
    <xf numFmtId="1" fontId="14" fillId="0" borderId="0" xfId="0" applyNumberFormat="1" applyFont="1" applyAlignment="1">
      <alignment horizontal="center" vertical="center"/>
    </xf>
    <xf numFmtId="0" fontId="8" fillId="3" borderId="1" xfId="0" applyFont="1" applyFill="1" applyBorder="1" applyAlignment="1">
      <alignment horizontal="center" vertical="center"/>
    </xf>
    <xf numFmtId="0" fontId="9" fillId="0" borderId="1" xfId="0" applyFont="1" applyBorder="1" applyAlignment="1">
      <alignment horizontal="left" indent="1"/>
    </xf>
    <xf numFmtId="0" fontId="8" fillId="2"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12" borderId="1" xfId="0" applyFont="1" applyFill="1" applyBorder="1" applyAlignment="1">
      <alignment horizontal="center" vertical="center" wrapText="1"/>
    </xf>
    <xf numFmtId="165" fontId="9" fillId="0" borderId="1" xfId="0" applyNumberFormat="1" applyFont="1" applyBorder="1" applyAlignment="1">
      <alignment horizontal="center"/>
    </xf>
    <xf numFmtId="0" fontId="9" fillId="0" borderId="1" xfId="0" applyFont="1" applyBorder="1" applyAlignment="1">
      <alignment horizontal="center"/>
    </xf>
    <xf numFmtId="166" fontId="9" fillId="0" borderId="1" xfId="1" applyNumberFormat="1" applyFont="1" applyBorder="1" applyAlignment="1">
      <alignment horizontal="right"/>
    </xf>
    <xf numFmtId="1" fontId="9" fillId="0" borderId="1" xfId="0" applyNumberFormat="1" applyFont="1" applyBorder="1" applyAlignment="1">
      <alignment horizontal="center"/>
    </xf>
    <xf numFmtId="0" fontId="9" fillId="13" borderId="1" xfId="0" applyFont="1" applyFill="1" applyBorder="1" applyAlignment="1">
      <alignment horizontal="left" indent="1"/>
    </xf>
    <xf numFmtId="165" fontId="9" fillId="14" borderId="1" xfId="0" applyNumberFormat="1" applyFont="1" applyFill="1" applyBorder="1" applyAlignment="1">
      <alignment horizontal="center"/>
    </xf>
    <xf numFmtId="0" fontId="9" fillId="14" borderId="1" xfId="0" applyFont="1" applyFill="1" applyBorder="1" applyAlignment="1">
      <alignment horizontal="center"/>
    </xf>
    <xf numFmtId="0" fontId="9" fillId="16" borderId="1" xfId="0" applyFont="1" applyFill="1" applyBorder="1" applyAlignment="1">
      <alignment horizontal="center"/>
    </xf>
    <xf numFmtId="166" fontId="9" fillId="15" borderId="1" xfId="1" applyNumberFormat="1" applyFont="1" applyFill="1" applyBorder="1" applyAlignment="1">
      <alignment horizontal="right"/>
    </xf>
    <xf numFmtId="1" fontId="9" fillId="17" borderId="1" xfId="0" applyNumberFormat="1" applyFont="1" applyFill="1" applyBorder="1" applyAlignment="1">
      <alignment horizontal="center"/>
    </xf>
    <xf numFmtId="1" fontId="9" fillId="18" borderId="1" xfId="0" applyNumberFormat="1" applyFont="1" applyFill="1" applyBorder="1" applyAlignment="1">
      <alignment horizontal="center"/>
    </xf>
    <xf numFmtId="1" fontId="9" fillId="19" borderId="1" xfId="0" applyNumberFormat="1" applyFont="1" applyFill="1" applyBorder="1" applyAlignment="1">
      <alignment horizontal="center"/>
    </xf>
    <xf numFmtId="0" fontId="8" fillId="3" borderId="1" xfId="0" applyFont="1" applyFill="1" applyBorder="1" applyAlignment="1">
      <alignment horizontal="left" vertical="center"/>
    </xf>
    <xf numFmtId="0" fontId="9" fillId="0" borderId="1" xfId="0" applyFont="1" applyBorder="1" applyAlignment="1">
      <alignment horizontal="left" vertical="center"/>
    </xf>
    <xf numFmtId="0" fontId="9" fillId="0" borderId="1" xfId="0" applyFont="1" applyBorder="1" applyAlignment="1">
      <alignment vertical="center"/>
    </xf>
    <xf numFmtId="0" fontId="16" fillId="0" borderId="0" xfId="0" applyFont="1" applyAlignment="1">
      <alignment vertical="center"/>
    </xf>
    <xf numFmtId="0" fontId="17" fillId="20" borderId="0" xfId="0" applyFont="1" applyFill="1" applyAlignment="1">
      <alignment vertical="center"/>
    </xf>
    <xf numFmtId="0" fontId="16" fillId="20" borderId="0" xfId="0" applyFont="1" applyFill="1" applyAlignment="1">
      <alignment vertical="center"/>
    </xf>
    <xf numFmtId="0" fontId="16" fillId="20" borderId="0" xfId="0" applyFont="1" applyFill="1" applyAlignment="1">
      <alignment horizontal="center" vertical="center"/>
    </xf>
    <xf numFmtId="0" fontId="18" fillId="0" borderId="0" xfId="0" applyFont="1"/>
    <xf numFmtId="0" fontId="19" fillId="0" borderId="0" xfId="3"/>
    <xf numFmtId="0" fontId="18" fillId="0" borderId="5" xfId="3" applyFont="1" applyBorder="1" applyAlignment="1">
      <alignment horizontal="left" vertical="center" wrapText="1" indent="2"/>
    </xf>
    <xf numFmtId="0" fontId="6" fillId="0" borderId="0" xfId="0" applyFont="1" applyAlignment="1">
      <alignment vertical="center"/>
    </xf>
    <xf numFmtId="0" fontId="21" fillId="0" borderId="0" xfId="0" applyFont="1" applyAlignment="1">
      <alignment vertical="center"/>
    </xf>
    <xf numFmtId="0" fontId="20" fillId="0" borderId="0" xfId="0" applyFont="1" applyAlignment="1">
      <alignment vertical="center"/>
    </xf>
    <xf numFmtId="0" fontId="22" fillId="20" borderId="0" xfId="0" applyFont="1" applyFill="1" applyAlignment="1">
      <alignment vertical="center"/>
    </xf>
    <xf numFmtId="0" fontId="6" fillId="0" borderId="0" xfId="2" applyFont="1" applyAlignment="1" applyProtection="1">
      <alignment horizontal="center" vertical="center"/>
    </xf>
    <xf numFmtId="0" fontId="23" fillId="20" borderId="0" xfId="0" applyFont="1" applyFill="1" applyAlignment="1">
      <alignment vertical="center"/>
    </xf>
    <xf numFmtId="0" fontId="24" fillId="20" borderId="0" xfId="0" applyFont="1" applyFill="1" applyAlignment="1">
      <alignment vertical="center"/>
    </xf>
    <xf numFmtId="0" fontId="5" fillId="22" borderId="6" xfId="2" applyFill="1" applyBorder="1" applyAlignment="1" applyProtection="1">
      <alignment vertical="center"/>
    </xf>
    <xf numFmtId="0" fontId="26" fillId="5" borderId="6" xfId="0" applyFont="1" applyFill="1" applyBorder="1" applyAlignment="1">
      <alignment vertical="center"/>
    </xf>
    <xf numFmtId="0" fontId="26" fillId="23" borderId="6" xfId="0" applyFont="1" applyFill="1" applyBorder="1" applyAlignment="1">
      <alignment vertical="center"/>
    </xf>
    <xf numFmtId="0" fontId="26" fillId="23" borderId="6" xfId="0" applyFont="1" applyFill="1" applyBorder="1" applyAlignment="1">
      <alignment horizontal="left" vertical="center"/>
    </xf>
    <xf numFmtId="0" fontId="26" fillId="24" borderId="6" xfId="0" applyFont="1" applyFill="1" applyBorder="1" applyAlignment="1">
      <alignment vertical="center"/>
    </xf>
    <xf numFmtId="0" fontId="26" fillId="24" borderId="0" xfId="0" applyFont="1" applyFill="1" applyAlignment="1">
      <alignment horizontal="left" vertical="center"/>
    </xf>
    <xf numFmtId="0" fontId="26" fillId="22" borderId="6" xfId="0" applyFont="1" applyFill="1" applyBorder="1" applyAlignment="1">
      <alignment vertical="center"/>
    </xf>
    <xf numFmtId="0" fontId="27" fillId="25" borderId="6" xfId="0" applyFont="1" applyFill="1" applyBorder="1" applyAlignment="1">
      <alignment vertical="center" wrapText="1"/>
    </xf>
    <xf numFmtId="0" fontId="28" fillId="0" borderId="6" xfId="0" applyFont="1" applyBorder="1" applyAlignment="1">
      <alignment vertical="center" wrapText="1"/>
    </xf>
    <xf numFmtId="14" fontId="28" fillId="0" borderId="6" xfId="0" applyNumberFormat="1" applyFont="1" applyBorder="1" applyAlignment="1">
      <alignment vertical="center" wrapText="1"/>
    </xf>
    <xf numFmtId="14" fontId="0" fillId="0" borderId="6" xfId="0" applyNumberFormat="1" applyBorder="1" applyAlignment="1">
      <alignment vertical="center"/>
    </xf>
    <xf numFmtId="167" fontId="0" fillId="0" borderId="6" xfId="0" applyNumberFormat="1" applyBorder="1" applyAlignment="1">
      <alignment vertical="center"/>
    </xf>
    <xf numFmtId="0" fontId="0" fillId="0" borderId="0" xfId="0" applyAlignment="1">
      <alignment vertical="center"/>
    </xf>
    <xf numFmtId="0" fontId="0" fillId="0" borderId="6" xfId="0" applyBorder="1" applyAlignment="1">
      <alignment vertical="center"/>
    </xf>
    <xf numFmtId="14" fontId="0" fillId="0" borderId="6" xfId="0" applyNumberFormat="1" applyBorder="1" applyAlignment="1">
      <alignment vertical="center" wrapText="1"/>
    </xf>
    <xf numFmtId="0" fontId="29" fillId="22" borderId="1" xfId="0" applyFont="1" applyFill="1" applyBorder="1" applyAlignment="1">
      <alignment horizontal="center" vertical="center" wrapText="1"/>
    </xf>
    <xf numFmtId="0" fontId="8" fillId="26" borderId="1" xfId="0" applyFont="1" applyFill="1" applyBorder="1" applyAlignment="1">
      <alignment horizontal="center" vertical="center" wrapText="1"/>
    </xf>
    <xf numFmtId="0" fontId="29" fillId="23" borderId="1" xfId="0" applyFont="1" applyFill="1" applyBorder="1" applyAlignment="1">
      <alignment horizontal="center" vertical="center" wrapText="1"/>
    </xf>
    <xf numFmtId="168" fontId="9" fillId="0" borderId="1" xfId="0" applyNumberFormat="1" applyFont="1" applyBorder="1" applyAlignment="1">
      <alignment horizontal="center"/>
    </xf>
    <xf numFmtId="169" fontId="9" fillId="0" borderId="1" xfId="0" applyNumberFormat="1" applyFont="1" applyBorder="1" applyAlignment="1">
      <alignment horizontal="center"/>
    </xf>
    <xf numFmtId="0" fontId="0" fillId="0" borderId="0" xfId="0" applyAlignment="1">
      <alignment horizontal="center" vertical="center"/>
    </xf>
    <xf numFmtId="0" fontId="0" fillId="0" borderId="0" xfId="0" applyAlignment="1">
      <alignment wrapText="1"/>
    </xf>
    <xf numFmtId="0" fontId="0" fillId="0" borderId="6" xfId="0" applyBorder="1"/>
    <xf numFmtId="0" fontId="0" fillId="0" borderId="6" xfId="0" applyBorder="1" applyAlignment="1">
      <alignment horizontal="center" vertical="center"/>
    </xf>
    <xf numFmtId="0" fontId="28" fillId="0" borderId="0" xfId="0" applyFont="1" applyAlignment="1">
      <alignment wrapText="1"/>
    </xf>
    <xf numFmtId="22" fontId="28" fillId="0" borderId="0" xfId="0" applyNumberFormat="1" applyFont="1" applyAlignment="1">
      <alignment wrapText="1"/>
    </xf>
    <xf numFmtId="0" fontId="0" fillId="0" borderId="6" xfId="0" applyBorder="1" applyAlignment="1">
      <alignment vertical="top"/>
    </xf>
    <xf numFmtId="0" fontId="0" fillId="0" borderId="6" xfId="0" applyBorder="1" applyAlignment="1">
      <alignment vertical="top" wrapText="1"/>
    </xf>
    <xf numFmtId="0" fontId="34" fillId="28" borderId="6" xfId="0" applyFont="1" applyFill="1" applyBorder="1" applyAlignment="1">
      <alignment vertical="center"/>
    </xf>
    <xf numFmtId="0" fontId="34" fillId="29" borderId="6" xfId="0" applyFont="1" applyFill="1" applyBorder="1" applyAlignment="1">
      <alignment horizontal="center" vertical="center" wrapText="1"/>
    </xf>
    <xf numFmtId="0" fontId="31" fillId="30" borderId="6" xfId="0" applyFont="1" applyFill="1" applyBorder="1" applyAlignment="1">
      <alignment vertical="center"/>
    </xf>
    <xf numFmtId="0" fontId="35" fillId="31" borderId="6" xfId="0" applyFont="1" applyFill="1" applyBorder="1" applyAlignment="1">
      <alignment vertical="center" wrapText="1"/>
    </xf>
    <xf numFmtId="0" fontId="35" fillId="31" borderId="6" xfId="0" applyFont="1" applyFill="1" applyBorder="1" applyAlignment="1">
      <alignment vertical="center"/>
    </xf>
    <xf numFmtId="14" fontId="35" fillId="31" borderId="6" xfId="0" applyNumberFormat="1" applyFont="1" applyFill="1" applyBorder="1" applyAlignment="1">
      <alignment horizontal="center" vertical="center"/>
    </xf>
    <xf numFmtId="10" fontId="35" fillId="31" borderId="6" xfId="0" applyNumberFormat="1" applyFont="1" applyFill="1" applyBorder="1" applyAlignment="1">
      <alignment vertical="center"/>
    </xf>
    <xf numFmtId="0" fontId="31" fillId="32" borderId="6" xfId="0" applyFont="1" applyFill="1" applyBorder="1" applyAlignment="1">
      <alignment vertical="center"/>
    </xf>
    <xf numFmtId="0" fontId="33" fillId="33" borderId="6" xfId="0" applyFont="1" applyFill="1" applyBorder="1" applyAlignment="1">
      <alignment vertical="center"/>
    </xf>
    <xf numFmtId="0" fontId="35" fillId="34" borderId="6" xfId="0" applyFont="1" applyFill="1" applyBorder="1" applyAlignment="1">
      <alignment vertical="center" wrapText="1"/>
    </xf>
    <xf numFmtId="0" fontId="35" fillId="34" borderId="6" xfId="0" applyFont="1" applyFill="1" applyBorder="1" applyAlignment="1">
      <alignment vertical="center"/>
    </xf>
    <xf numFmtId="14" fontId="35" fillId="34" borderId="6" xfId="0" applyNumberFormat="1" applyFont="1" applyFill="1" applyBorder="1" applyAlignment="1">
      <alignment horizontal="center" vertical="center"/>
    </xf>
    <xf numFmtId="10" fontId="35" fillId="34" borderId="6" xfId="0" applyNumberFormat="1" applyFont="1" applyFill="1" applyBorder="1" applyAlignment="1">
      <alignment vertical="center"/>
    </xf>
    <xf numFmtId="0" fontId="33" fillId="35" borderId="6" xfId="0" applyFont="1" applyFill="1" applyBorder="1" applyAlignment="1">
      <alignment vertical="center"/>
    </xf>
    <xf numFmtId="0" fontId="32" fillId="36" borderId="6" xfId="0" applyFont="1" applyFill="1" applyBorder="1" applyAlignment="1">
      <alignment vertical="center"/>
    </xf>
    <xf numFmtId="0" fontId="35" fillId="37" borderId="6" xfId="0" applyFont="1" applyFill="1" applyBorder="1" applyAlignment="1">
      <alignment vertical="center" wrapText="1"/>
    </xf>
    <xf numFmtId="0" fontId="35" fillId="37" borderId="6" xfId="0" applyFont="1" applyFill="1" applyBorder="1" applyAlignment="1">
      <alignment vertical="center"/>
    </xf>
    <xf numFmtId="14" fontId="35" fillId="37" borderId="6" xfId="0" applyNumberFormat="1" applyFont="1" applyFill="1" applyBorder="1" applyAlignment="1">
      <alignment horizontal="center" vertical="center"/>
    </xf>
    <xf numFmtId="10" fontId="35" fillId="37" borderId="6" xfId="0" applyNumberFormat="1" applyFont="1" applyFill="1" applyBorder="1" applyAlignment="1">
      <alignment vertical="center"/>
    </xf>
    <xf numFmtId="0" fontId="32" fillId="39" borderId="6" xfId="0" applyFont="1" applyFill="1" applyBorder="1" applyAlignment="1">
      <alignment vertical="center"/>
    </xf>
    <xf numFmtId="0" fontId="35" fillId="40" borderId="6" xfId="0" applyFont="1" applyFill="1" applyBorder="1" applyAlignment="1">
      <alignment vertical="center"/>
    </xf>
    <xf numFmtId="0" fontId="35" fillId="40" borderId="6" xfId="0" applyFont="1" applyFill="1" applyBorder="1" applyAlignment="1">
      <alignment vertical="center" wrapText="1"/>
    </xf>
    <xf numFmtId="14" fontId="35" fillId="40" borderId="6" xfId="0" applyNumberFormat="1" applyFont="1" applyFill="1" applyBorder="1" applyAlignment="1">
      <alignment horizontal="center" vertical="center"/>
    </xf>
    <xf numFmtId="10" fontId="35" fillId="40" borderId="6" xfId="0" applyNumberFormat="1" applyFont="1" applyFill="1" applyBorder="1" applyAlignment="1">
      <alignment vertical="center"/>
    </xf>
    <xf numFmtId="0" fontId="35" fillId="41" borderId="6" xfId="0" applyFont="1" applyFill="1" applyBorder="1" applyAlignment="1">
      <alignment vertical="center"/>
    </xf>
    <xf numFmtId="0" fontId="35" fillId="41" borderId="6" xfId="0" applyFont="1" applyFill="1" applyBorder="1" applyAlignment="1">
      <alignment vertical="center" wrapText="1"/>
    </xf>
    <xf numFmtId="14" fontId="35" fillId="41" borderId="6" xfId="0" applyNumberFormat="1" applyFont="1" applyFill="1" applyBorder="1" applyAlignment="1">
      <alignment horizontal="center" vertical="center"/>
    </xf>
    <xf numFmtId="10" fontId="35" fillId="41" borderId="6" xfId="0" applyNumberFormat="1" applyFont="1" applyFill="1" applyBorder="1" applyAlignment="1">
      <alignment vertical="center"/>
    </xf>
    <xf numFmtId="10" fontId="0" fillId="0" borderId="6" xfId="0" applyNumberFormat="1" applyBorder="1"/>
    <xf numFmtId="0" fontId="0" fillId="43" borderId="7" xfId="0" applyFill="1" applyBorder="1" applyAlignment="1">
      <alignment vertical="center"/>
    </xf>
    <xf numFmtId="14" fontId="0" fillId="0" borderId="0" xfId="0" applyNumberFormat="1"/>
    <xf numFmtId="0" fontId="38" fillId="25" borderId="0" xfId="0" applyFont="1" applyFill="1"/>
    <xf numFmtId="0" fontId="0" fillId="0" borderId="0" xfId="0" applyFill="1"/>
    <xf numFmtId="0" fontId="0" fillId="0" borderId="0" xfId="0" applyFont="1" applyFill="1"/>
    <xf numFmtId="14" fontId="0" fillId="0" borderId="0" xfId="0" applyNumberFormat="1" applyFont="1" applyFill="1"/>
    <xf numFmtId="0" fontId="2" fillId="0" borderId="6" xfId="0" applyFont="1" applyBorder="1"/>
    <xf numFmtId="0" fontId="2" fillId="0" borderId="6" xfId="0" applyFont="1" applyBorder="1" applyAlignment="1">
      <alignment vertical="center"/>
    </xf>
    <xf numFmtId="0" fontId="2" fillId="75" borderId="6" xfId="0" applyFont="1" applyFill="1" applyBorder="1"/>
    <xf numFmtId="10" fontId="35" fillId="74" borderId="6" xfId="0" applyNumberFormat="1" applyFont="1" applyFill="1" applyBorder="1"/>
    <xf numFmtId="0" fontId="35" fillId="74" borderId="6" xfId="0" applyFont="1" applyFill="1" applyBorder="1"/>
    <xf numFmtId="0" fontId="35" fillId="75" borderId="6" xfId="0" applyFont="1" applyFill="1" applyBorder="1"/>
    <xf numFmtId="0" fontId="2" fillId="74" borderId="6" xfId="0" applyFont="1" applyFill="1" applyBorder="1" applyAlignment="1">
      <alignment vertical="center"/>
    </xf>
    <xf numFmtId="14" fontId="2" fillId="74" borderId="6" xfId="0" applyNumberFormat="1" applyFont="1" applyFill="1" applyBorder="1" applyAlignment="1">
      <alignment vertical="center"/>
    </xf>
    <xf numFmtId="0" fontId="2" fillId="75" borderId="6" xfId="0" applyFont="1" applyFill="1" applyBorder="1" applyAlignment="1">
      <alignment vertical="center"/>
    </xf>
    <xf numFmtId="14" fontId="2" fillId="74" borderId="0" xfId="0" applyNumberFormat="1" applyFont="1" applyFill="1"/>
    <xf numFmtId="0" fontId="2" fillId="74" borderId="6" xfId="0" applyFont="1" applyFill="1" applyBorder="1"/>
    <xf numFmtId="14" fontId="2" fillId="75" borderId="0" xfId="0" applyNumberFormat="1" applyFont="1" applyFill="1"/>
    <xf numFmtId="14" fontId="2" fillId="75" borderId="6" xfId="0" applyNumberFormat="1" applyFont="1" applyFill="1" applyBorder="1" applyAlignment="1">
      <alignment vertical="center"/>
    </xf>
    <xf numFmtId="10" fontId="35" fillId="75" borderId="6" xfId="0" applyNumberFormat="1" applyFont="1" applyFill="1" applyBorder="1"/>
    <xf numFmtId="0" fontId="35" fillId="41" borderId="6" xfId="0" applyFont="1" applyFill="1" applyBorder="1" applyAlignment="1">
      <alignment vertical="center" wrapText="1"/>
    </xf>
    <xf numFmtId="10" fontId="35" fillId="41" borderId="6" xfId="0" applyNumberFormat="1" applyFont="1" applyFill="1" applyBorder="1" applyAlignment="1">
      <alignment vertical="center"/>
    </xf>
    <xf numFmtId="0" fontId="35" fillId="41" borderId="6" xfId="0" applyFont="1" applyFill="1" applyBorder="1" applyAlignment="1">
      <alignment vertical="center"/>
    </xf>
    <xf numFmtId="14" fontId="35" fillId="41" borderId="6" xfId="0" applyNumberFormat="1" applyFont="1" applyFill="1" applyBorder="1" applyAlignment="1">
      <alignment horizontal="center" vertical="center"/>
    </xf>
    <xf numFmtId="0" fontId="35" fillId="37" borderId="6" xfId="0" applyFont="1" applyFill="1" applyBorder="1" applyAlignment="1">
      <alignment vertical="center"/>
    </xf>
    <xf numFmtId="0" fontId="35" fillId="37" borderId="6" xfId="0" applyFont="1" applyFill="1" applyBorder="1" applyAlignment="1">
      <alignment vertical="center" wrapText="1"/>
    </xf>
    <xf numFmtId="10" fontId="35" fillId="37" borderId="6" xfId="0" applyNumberFormat="1" applyFont="1" applyFill="1" applyBorder="1" applyAlignment="1">
      <alignment vertical="center"/>
    </xf>
    <xf numFmtId="14" fontId="35" fillId="37" borderId="6" xfId="0" applyNumberFormat="1" applyFont="1" applyFill="1" applyBorder="1" applyAlignment="1">
      <alignment horizontal="center" vertical="center"/>
    </xf>
    <xf numFmtId="14" fontId="35" fillId="34" borderId="6" xfId="0" applyNumberFormat="1" applyFont="1" applyFill="1" applyBorder="1" applyAlignment="1">
      <alignment horizontal="center" vertical="center"/>
    </xf>
    <xf numFmtId="0" fontId="32" fillId="36" borderId="6" xfId="0" applyFont="1" applyFill="1" applyBorder="1" applyAlignment="1">
      <alignment vertical="center"/>
    </xf>
    <xf numFmtId="10" fontId="35" fillId="34" borderId="6" xfId="0" applyNumberFormat="1" applyFont="1" applyFill="1" applyBorder="1" applyAlignment="1">
      <alignment vertical="center"/>
    </xf>
    <xf numFmtId="0" fontId="35" fillId="31" borderId="6" xfId="0" applyFont="1" applyFill="1" applyBorder="1" applyAlignment="1">
      <alignment vertical="center"/>
    </xf>
    <xf numFmtId="0" fontId="35" fillId="31" borderId="6" xfId="0" applyFont="1" applyFill="1" applyBorder="1" applyAlignment="1">
      <alignment vertical="center" wrapText="1"/>
    </xf>
    <xf numFmtId="10" fontId="35" fillId="31" borderId="6" xfId="0" applyNumberFormat="1" applyFont="1" applyFill="1" applyBorder="1" applyAlignment="1">
      <alignment vertical="center"/>
    </xf>
    <xf numFmtId="0" fontId="35" fillId="34" borderId="6" xfId="0" applyFont="1" applyFill="1" applyBorder="1" applyAlignment="1">
      <alignment vertical="center" wrapText="1"/>
    </xf>
    <xf numFmtId="0" fontId="31" fillId="30" borderId="6" xfId="0" applyFont="1" applyFill="1" applyBorder="1" applyAlignment="1">
      <alignment vertical="center"/>
    </xf>
    <xf numFmtId="14" fontId="35" fillId="31" borderId="6" xfId="0" applyNumberFormat="1" applyFont="1" applyFill="1" applyBorder="1" applyAlignment="1">
      <alignment horizontal="center" vertical="center"/>
    </xf>
    <xf numFmtId="0" fontId="33" fillId="35" borderId="6" xfId="0" applyFont="1" applyFill="1" applyBorder="1" applyAlignment="1">
      <alignment vertical="center"/>
    </xf>
    <xf numFmtId="0" fontId="35" fillId="34" borderId="6" xfId="0" applyFont="1" applyFill="1" applyBorder="1" applyAlignment="1">
      <alignment vertical="center"/>
    </xf>
    <xf numFmtId="14" fontId="35" fillId="31" borderId="6" xfId="0" applyNumberFormat="1" applyFont="1" applyFill="1" applyBorder="1" applyAlignment="1">
      <alignment horizontal="center" vertical="center"/>
    </xf>
    <xf numFmtId="0" fontId="1" fillId="75" borderId="6" xfId="0" applyFont="1" applyFill="1" applyBorder="1" applyAlignment="1">
      <alignment vertical="center"/>
    </xf>
    <xf numFmtId="0" fontId="1" fillId="74" borderId="6" xfId="0" applyFont="1" applyFill="1" applyBorder="1" applyAlignment="1">
      <alignment vertical="center"/>
    </xf>
    <xf numFmtId="0" fontId="1" fillId="75" borderId="6" xfId="0" applyFont="1" applyFill="1" applyBorder="1"/>
    <xf numFmtId="0" fontId="2" fillId="0" borderId="6" xfId="0" applyFont="1" applyFill="1" applyBorder="1"/>
    <xf numFmtId="0" fontId="2" fillId="0" borderId="6" xfId="0" applyFont="1" applyFill="1" applyBorder="1" applyAlignment="1">
      <alignment vertical="center"/>
    </xf>
    <xf numFmtId="0" fontId="35" fillId="0" borderId="6" xfId="0" applyFont="1" applyFill="1" applyBorder="1"/>
    <xf numFmtId="0" fontId="35" fillId="0" borderId="0" xfId="0" applyFont="1" applyFill="1" applyBorder="1"/>
    <xf numFmtId="14" fontId="2" fillId="0" borderId="0" xfId="0" applyNumberFormat="1" applyFont="1" applyFill="1" applyBorder="1" applyAlignment="1">
      <alignment vertical="center"/>
    </xf>
    <xf numFmtId="14" fontId="2" fillId="0" borderId="6" xfId="0" applyNumberFormat="1" applyFont="1" applyFill="1" applyBorder="1" applyAlignment="1">
      <alignment vertical="center"/>
    </xf>
    <xf numFmtId="0" fontId="1" fillId="0" borderId="6" xfId="0" applyFont="1" applyFill="1" applyBorder="1" applyAlignment="1">
      <alignment vertical="center"/>
    </xf>
    <xf numFmtId="10" fontId="35" fillId="0" borderId="6" xfId="0" applyNumberFormat="1" applyFont="1" applyFill="1" applyBorder="1"/>
    <xf numFmtId="10" fontId="0" fillId="0" borderId="9" xfId="0" applyNumberFormat="1" applyFill="1" applyBorder="1" applyAlignment="1">
      <alignment horizontal="center" vertical="center"/>
    </xf>
    <xf numFmtId="0" fontId="0" fillId="0" borderId="6" xfId="0" applyFill="1" applyBorder="1"/>
    <xf numFmtId="14" fontId="35" fillId="42" borderId="6" xfId="0" applyNumberFormat="1" applyFont="1" applyFill="1" applyBorder="1" applyAlignment="1">
      <alignment horizontal="center" vertical="center"/>
    </xf>
    <xf numFmtId="14" fontId="35" fillId="31" borderId="6" xfId="0" applyNumberFormat="1" applyFont="1" applyFill="1" applyBorder="1" applyAlignment="1">
      <alignment vertical="center"/>
    </xf>
    <xf numFmtId="14" fontId="35" fillId="34" borderId="6" xfId="0" applyNumberFormat="1" applyFont="1" applyFill="1" applyBorder="1" applyAlignment="1">
      <alignment vertical="center"/>
    </xf>
    <xf numFmtId="14" fontId="35" fillId="37" borderId="6" xfId="0" applyNumberFormat="1" applyFont="1" applyFill="1" applyBorder="1" applyAlignment="1">
      <alignment vertical="center"/>
    </xf>
    <xf numFmtId="14" fontId="35" fillId="40" borderId="6" xfId="0" applyNumberFormat="1" applyFont="1" applyFill="1" applyBorder="1" applyAlignment="1">
      <alignment vertical="center"/>
    </xf>
    <xf numFmtId="14" fontId="35" fillId="41" borderId="6" xfId="0" applyNumberFormat="1" applyFont="1" applyFill="1" applyBorder="1" applyAlignment="1">
      <alignment vertical="center"/>
    </xf>
    <xf numFmtId="0" fontId="35" fillId="76" borderId="6" xfId="0" applyFont="1" applyFill="1" applyBorder="1" applyAlignment="1">
      <alignment vertical="center" wrapText="1"/>
    </xf>
    <xf numFmtId="0" fontId="35" fillId="76" borderId="6" xfId="0" applyFont="1" applyFill="1" applyBorder="1" applyAlignment="1">
      <alignment vertical="center"/>
    </xf>
    <xf numFmtId="14" fontId="35" fillId="76" borderId="6" xfId="0" applyNumberFormat="1" applyFont="1" applyFill="1" applyBorder="1" applyAlignment="1">
      <alignment horizontal="center" vertical="center"/>
    </xf>
    <xf numFmtId="10" fontId="35" fillId="76" borderId="6" xfId="0" applyNumberFormat="1" applyFont="1" applyFill="1" applyBorder="1" applyAlignment="1">
      <alignment vertical="center"/>
    </xf>
    <xf numFmtId="0" fontId="34" fillId="28" borderId="6" xfId="0" applyFont="1" applyFill="1" applyBorder="1" applyAlignment="1">
      <alignment vertical="center" wrapText="1"/>
    </xf>
    <xf numFmtId="10" fontId="35" fillId="0" borderId="6" xfId="0" applyNumberFormat="1" applyFont="1" applyBorder="1" applyAlignment="1">
      <alignment horizontal="center" vertical="center"/>
    </xf>
    <xf numFmtId="14" fontId="35" fillId="0" borderId="6" xfId="0" applyNumberFormat="1" applyFont="1" applyBorder="1" applyAlignment="1">
      <alignment horizontal="center" vertical="center"/>
    </xf>
    <xf numFmtId="14" fontId="35" fillId="41" borderId="6" xfId="0" applyNumberFormat="1" applyFont="1" applyFill="1" applyBorder="1" applyAlignment="1">
      <alignment horizontal="center" vertical="center"/>
    </xf>
    <xf numFmtId="0" fontId="35" fillId="0" borderId="6" xfId="0" applyFont="1" applyBorder="1" applyAlignment="1">
      <alignment horizontal="center" vertical="center"/>
    </xf>
    <xf numFmtId="0" fontId="0" fillId="22" borderId="6" xfId="0" applyFill="1" applyBorder="1" applyAlignment="1">
      <alignment horizontal="center" vertical="center"/>
    </xf>
    <xf numFmtId="0" fontId="35" fillId="42" borderId="6" xfId="0" applyFont="1" applyFill="1" applyBorder="1" applyAlignment="1">
      <alignment horizontal="center" vertical="center"/>
    </xf>
    <xf numFmtId="10" fontId="35" fillId="42" borderId="6" xfId="0" applyNumberFormat="1" applyFont="1" applyFill="1" applyBorder="1" applyAlignment="1">
      <alignment horizontal="center" vertical="center"/>
    </xf>
    <xf numFmtId="0" fontId="35" fillId="0" borderId="6" xfId="0" applyFont="1" applyBorder="1" applyAlignment="1">
      <alignment horizontal="left" vertical="center" wrapText="1"/>
    </xf>
    <xf numFmtId="0" fontId="35" fillId="42" borderId="6" xfId="0" applyFont="1" applyFill="1" applyBorder="1" applyAlignment="1">
      <alignment horizontal="left" vertical="center" wrapText="1"/>
    </xf>
    <xf numFmtId="0" fontId="35" fillId="0" borderId="6" xfId="0" applyFont="1" applyBorder="1" applyAlignment="1">
      <alignment horizontal="left" vertical="center"/>
    </xf>
    <xf numFmtId="0" fontId="35" fillId="42" borderId="6" xfId="0" applyFont="1" applyFill="1" applyBorder="1" applyAlignment="1">
      <alignment horizontal="left" vertical="center"/>
    </xf>
    <xf numFmtId="14" fontId="35" fillId="0" borderId="6" xfId="0" applyNumberFormat="1" applyFont="1" applyFill="1" applyBorder="1" applyAlignment="1">
      <alignment horizontal="center" vertical="center"/>
    </xf>
    <xf numFmtId="0" fontId="38" fillId="77" borderId="6" xfId="0" applyFont="1" applyFill="1" applyBorder="1"/>
    <xf numFmtId="14" fontId="0" fillId="0" borderId="6" xfId="0" applyNumberFormat="1" applyBorder="1"/>
    <xf numFmtId="0" fontId="0" fillId="0" borderId="6" xfId="0" applyBorder="1" applyAlignment="1">
      <alignment wrapText="1"/>
    </xf>
    <xf numFmtId="0" fontId="35" fillId="31" borderId="6" xfId="0" applyFont="1" applyFill="1" applyBorder="1" applyAlignment="1">
      <alignment vertical="center"/>
    </xf>
    <xf numFmtId="0" fontId="35" fillId="41" borderId="6" xfId="0" applyFont="1" applyFill="1" applyBorder="1" applyAlignment="1">
      <alignment vertical="center" wrapText="1"/>
    </xf>
    <xf numFmtId="10" fontId="35" fillId="41" borderId="6" xfId="0" applyNumberFormat="1" applyFont="1" applyFill="1" applyBorder="1" applyAlignment="1">
      <alignment vertical="center"/>
    </xf>
    <xf numFmtId="0" fontId="35" fillId="41" borderId="6" xfId="0" applyFont="1" applyFill="1" applyBorder="1" applyAlignment="1">
      <alignment vertical="center"/>
    </xf>
    <xf numFmtId="14" fontId="35" fillId="41" borderId="6" xfId="0" applyNumberFormat="1" applyFont="1" applyFill="1" applyBorder="1" applyAlignment="1">
      <alignment horizontal="center" vertical="center"/>
    </xf>
    <xf numFmtId="0" fontId="15" fillId="0" borderId="2" xfId="0" applyFont="1" applyBorder="1" applyAlignment="1">
      <alignment horizontal="left" vertical="center" wrapText="1" indent="1"/>
    </xf>
    <xf numFmtId="0" fontId="15" fillId="0" borderId="3" xfId="0" applyFont="1" applyBorder="1" applyAlignment="1">
      <alignment horizontal="left" vertical="center" wrapText="1" indent="1"/>
    </xf>
    <xf numFmtId="0" fontId="15" fillId="0" borderId="4" xfId="0" applyFont="1" applyBorder="1" applyAlignment="1">
      <alignment horizontal="left" vertical="center" wrapText="1" indent="1"/>
    </xf>
    <xf numFmtId="0" fontId="25" fillId="21" borderId="0" xfId="2" applyFont="1" applyFill="1" applyAlignment="1" applyProtection="1">
      <alignment horizontal="center" vertical="center"/>
    </xf>
    <xf numFmtId="0" fontId="8" fillId="11"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9" borderId="1" xfId="0" applyFont="1" applyFill="1" applyBorder="1" applyAlignment="1">
      <alignment horizontal="left" vertical="center" wrapText="1" indent="1"/>
    </xf>
    <xf numFmtId="0" fontId="8" fillId="3"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8" fillId="3" borderId="1" xfId="0" applyFont="1" applyFill="1" applyBorder="1" applyAlignment="1">
      <alignment horizontal="center" vertical="center"/>
    </xf>
    <xf numFmtId="0" fontId="29" fillId="23" borderId="1" xfId="0" applyFont="1" applyFill="1" applyBorder="1" applyAlignment="1">
      <alignment horizontal="center" vertical="center" wrapText="1"/>
    </xf>
    <xf numFmtId="0" fontId="29" fillId="22" borderId="1" xfId="0" applyFont="1" applyFill="1" applyBorder="1" applyAlignment="1">
      <alignment horizontal="center" vertical="center" wrapText="1"/>
    </xf>
    <xf numFmtId="10" fontId="0" fillId="74" borderId="7" xfId="0" applyNumberFormat="1" applyFill="1" applyBorder="1" applyAlignment="1">
      <alignment horizontal="center" vertical="center"/>
    </xf>
    <xf numFmtId="10" fontId="0" fillId="74" borderId="9" xfId="0" applyNumberFormat="1" applyFill="1" applyBorder="1" applyAlignment="1">
      <alignment horizontal="center" vertical="center"/>
    </xf>
    <xf numFmtId="10" fontId="0" fillId="74" borderId="10" xfId="0" applyNumberFormat="1" applyFill="1" applyBorder="1" applyAlignment="1">
      <alignment horizontal="center" vertical="center"/>
    </xf>
    <xf numFmtId="10" fontId="0" fillId="75" borderId="7" xfId="0" applyNumberFormat="1" applyFill="1" applyBorder="1" applyAlignment="1">
      <alignment horizontal="center" vertical="center"/>
    </xf>
    <xf numFmtId="10" fontId="0" fillId="75" borderId="9" xfId="0" applyNumberFormat="1" applyFill="1" applyBorder="1" applyAlignment="1">
      <alignment horizontal="center" vertical="center"/>
    </xf>
    <xf numFmtId="10" fontId="0" fillId="75" borderId="10" xfId="0" applyNumberFormat="1" applyFill="1" applyBorder="1" applyAlignment="1">
      <alignment horizontal="center" vertical="center"/>
    </xf>
    <xf numFmtId="10" fontId="36" fillId="31" borderId="6" xfId="0" applyNumberFormat="1" applyFont="1" applyFill="1" applyBorder="1" applyAlignment="1">
      <alignment horizontal="center" vertical="center"/>
    </xf>
    <xf numFmtId="0" fontId="31" fillId="30" borderId="6" xfId="0" applyFont="1" applyFill="1" applyBorder="1" applyAlignment="1">
      <alignment vertical="center"/>
    </xf>
    <xf numFmtId="0" fontId="35" fillId="31" borderId="7" xfId="0" applyFont="1" applyFill="1" applyBorder="1" applyAlignment="1">
      <alignment horizontal="left" vertical="center" wrapText="1"/>
    </xf>
    <xf numFmtId="0" fontId="35" fillId="31" borderId="9" xfId="0" applyFont="1" applyFill="1" applyBorder="1" applyAlignment="1">
      <alignment horizontal="left" vertical="center" wrapText="1"/>
    </xf>
    <xf numFmtId="0" fontId="35" fillId="31" borderId="10" xfId="0" applyFont="1" applyFill="1" applyBorder="1" applyAlignment="1">
      <alignment horizontal="left" vertical="center" wrapText="1"/>
    </xf>
    <xf numFmtId="0" fontId="35" fillId="31" borderId="6" xfId="0" applyFont="1" applyFill="1" applyBorder="1" applyAlignment="1">
      <alignment vertical="center"/>
    </xf>
    <xf numFmtId="14" fontId="35" fillId="31" borderId="6" xfId="0" applyNumberFormat="1" applyFont="1" applyFill="1" applyBorder="1" applyAlignment="1">
      <alignment horizontal="center" vertical="center"/>
    </xf>
    <xf numFmtId="0" fontId="33" fillId="35" borderId="7" xfId="0" applyFont="1" applyFill="1" applyBorder="1" applyAlignment="1">
      <alignment vertical="center"/>
    </xf>
    <xf numFmtId="0" fontId="33" fillId="35" borderId="9" xfId="0" applyFont="1" applyFill="1" applyBorder="1" applyAlignment="1">
      <alignment vertical="center"/>
    </xf>
    <xf numFmtId="0" fontId="33" fillId="35" borderId="10" xfId="0" applyFont="1" applyFill="1" applyBorder="1" applyAlignment="1">
      <alignment vertical="center"/>
    </xf>
    <xf numFmtId="0" fontId="35" fillId="34" borderId="7" xfId="0" applyFont="1" applyFill="1" applyBorder="1" applyAlignment="1">
      <alignment vertical="center"/>
    </xf>
    <xf numFmtId="0" fontId="35" fillId="34" borderId="9" xfId="0" applyFont="1" applyFill="1" applyBorder="1" applyAlignment="1">
      <alignment vertical="center"/>
    </xf>
    <xf numFmtId="0" fontId="35" fillId="34" borderId="10" xfId="0" applyFont="1" applyFill="1" applyBorder="1" applyAlignment="1">
      <alignment vertical="center"/>
    </xf>
    <xf numFmtId="10" fontId="35" fillId="41" borderId="7" xfId="0" applyNumberFormat="1" applyFont="1" applyFill="1" applyBorder="1" applyAlignment="1">
      <alignment horizontal="center" vertical="center"/>
    </xf>
    <xf numFmtId="10" fontId="35" fillId="41" borderId="9" xfId="0" applyNumberFormat="1" applyFont="1" applyFill="1" applyBorder="1" applyAlignment="1">
      <alignment horizontal="center" vertical="center"/>
    </xf>
    <xf numFmtId="10" fontId="35" fillId="41" borderId="10" xfId="0" applyNumberFormat="1" applyFont="1" applyFill="1" applyBorder="1" applyAlignment="1">
      <alignment horizontal="center" vertical="center"/>
    </xf>
    <xf numFmtId="10" fontId="35" fillId="34" borderId="7" xfId="0" applyNumberFormat="1" applyFont="1" applyFill="1" applyBorder="1" applyAlignment="1">
      <alignment horizontal="center" vertical="center"/>
    </xf>
    <xf numFmtId="10" fontId="35" fillId="34" borderId="9" xfId="0" applyNumberFormat="1" applyFont="1" applyFill="1" applyBorder="1" applyAlignment="1">
      <alignment horizontal="center" vertical="center"/>
    </xf>
    <xf numFmtId="10" fontId="35" fillId="34" borderId="10" xfId="0" applyNumberFormat="1" applyFont="1" applyFill="1" applyBorder="1" applyAlignment="1">
      <alignment horizontal="center" vertical="center"/>
    </xf>
    <xf numFmtId="10" fontId="35" fillId="38" borderId="6" xfId="0" applyNumberFormat="1" applyFont="1" applyFill="1" applyBorder="1" applyAlignment="1">
      <alignment horizontal="center" vertical="center"/>
    </xf>
    <xf numFmtId="14" fontId="35" fillId="34" borderId="7" xfId="0" applyNumberFormat="1" applyFont="1" applyFill="1" applyBorder="1" applyAlignment="1">
      <alignment horizontal="center" vertical="center"/>
    </xf>
    <xf numFmtId="14" fontId="35" fillId="34" borderId="9" xfId="0" applyNumberFormat="1" applyFont="1" applyFill="1" applyBorder="1" applyAlignment="1">
      <alignment horizontal="center" vertical="center"/>
    </xf>
    <xf numFmtId="14" fontId="35" fillId="34" borderId="10" xfId="0" applyNumberFormat="1" applyFont="1" applyFill="1" applyBorder="1" applyAlignment="1">
      <alignment horizontal="center" vertical="center"/>
    </xf>
    <xf numFmtId="10" fontId="35" fillId="34" borderId="7" xfId="0" applyNumberFormat="1" applyFont="1" applyFill="1" applyBorder="1" applyAlignment="1">
      <alignment vertical="center"/>
    </xf>
    <xf numFmtId="10" fontId="35" fillId="34" borderId="9" xfId="0" applyNumberFormat="1" applyFont="1" applyFill="1" applyBorder="1" applyAlignment="1">
      <alignment vertical="center"/>
    </xf>
    <xf numFmtId="10" fontId="35" fillId="34" borderId="10" xfId="0" applyNumberFormat="1" applyFont="1" applyFill="1" applyBorder="1" applyAlignment="1">
      <alignment vertical="center"/>
    </xf>
    <xf numFmtId="0" fontId="35" fillId="34" borderId="7" xfId="0" applyFont="1" applyFill="1" applyBorder="1" applyAlignment="1">
      <alignment vertical="center" wrapText="1"/>
    </xf>
    <xf numFmtId="0" fontId="35" fillId="34" borderId="9" xfId="0" applyFont="1" applyFill="1" applyBorder="1" applyAlignment="1">
      <alignment vertical="center" wrapText="1"/>
    </xf>
    <xf numFmtId="0" fontId="35" fillId="34" borderId="10" xfId="0" applyFont="1" applyFill="1" applyBorder="1" applyAlignment="1">
      <alignment vertical="center" wrapText="1"/>
    </xf>
    <xf numFmtId="10" fontId="35" fillId="40" borderId="6" xfId="0" applyNumberFormat="1" applyFont="1" applyFill="1" applyBorder="1" applyAlignment="1">
      <alignment horizontal="center" vertical="center"/>
    </xf>
    <xf numFmtId="14" fontId="35" fillId="37" borderId="7" xfId="0" applyNumberFormat="1" applyFont="1" applyFill="1" applyBorder="1" applyAlignment="1">
      <alignment horizontal="center" vertical="center"/>
    </xf>
    <xf numFmtId="14" fontId="35" fillId="37" borderId="9" xfId="0" applyNumberFormat="1" applyFont="1" applyFill="1" applyBorder="1" applyAlignment="1">
      <alignment horizontal="center" vertical="center"/>
    </xf>
    <xf numFmtId="0" fontId="32" fillId="36" borderId="6" xfId="0" applyFont="1" applyFill="1" applyBorder="1" applyAlignment="1">
      <alignment vertical="center"/>
    </xf>
    <xf numFmtId="10" fontId="35" fillId="31" borderId="6" xfId="0" applyNumberFormat="1" applyFont="1" applyFill="1" applyBorder="1" applyAlignment="1">
      <alignment horizontal="center" vertical="center"/>
    </xf>
    <xf numFmtId="10" fontId="35" fillId="34" borderId="6" xfId="0" applyNumberFormat="1" applyFont="1" applyFill="1" applyBorder="1" applyAlignment="1">
      <alignment horizontal="center" vertical="center"/>
    </xf>
    <xf numFmtId="0" fontId="35" fillId="31" borderId="6" xfId="0" applyFont="1" applyFill="1" applyBorder="1" applyAlignment="1">
      <alignment vertical="center" wrapText="1"/>
    </xf>
    <xf numFmtId="10" fontId="35" fillId="31" borderId="6" xfId="0" applyNumberFormat="1" applyFont="1" applyFill="1" applyBorder="1" applyAlignment="1">
      <alignment vertical="center"/>
    </xf>
    <xf numFmtId="0" fontId="35" fillId="37" borderId="7" xfId="0" applyFont="1" applyFill="1" applyBorder="1" applyAlignment="1">
      <alignment vertical="center"/>
    </xf>
    <xf numFmtId="0" fontId="35" fillId="37" borderId="9" xfId="0" applyFont="1" applyFill="1" applyBorder="1" applyAlignment="1">
      <alignment vertical="center"/>
    </xf>
    <xf numFmtId="0" fontId="35" fillId="37" borderId="7" xfId="0" applyFont="1" applyFill="1" applyBorder="1" applyAlignment="1">
      <alignment vertical="center" wrapText="1"/>
    </xf>
    <xf numFmtId="0" fontId="35" fillId="37" borderId="9" xfId="0" applyFont="1" applyFill="1" applyBorder="1" applyAlignment="1">
      <alignment vertical="center" wrapText="1"/>
    </xf>
    <xf numFmtId="10" fontId="35" fillId="37" borderId="7" xfId="0" applyNumberFormat="1" applyFont="1" applyFill="1" applyBorder="1" applyAlignment="1">
      <alignment vertical="center"/>
    </xf>
    <xf numFmtId="10" fontId="35" fillId="37" borderId="9" xfId="0" applyNumberFormat="1" applyFont="1" applyFill="1" applyBorder="1" applyAlignment="1">
      <alignment vertical="center"/>
    </xf>
    <xf numFmtId="10" fontId="35" fillId="38" borderId="7" xfId="0" applyNumberFormat="1" applyFont="1" applyFill="1" applyBorder="1" applyAlignment="1">
      <alignment horizontal="center" vertical="center"/>
    </xf>
    <xf numFmtId="10" fontId="35" fillId="38" borderId="9" xfId="0" applyNumberFormat="1" applyFont="1" applyFill="1" applyBorder="1" applyAlignment="1">
      <alignment horizontal="center" vertical="center"/>
    </xf>
    <xf numFmtId="0" fontId="35" fillId="34" borderId="7" xfId="0" applyFont="1" applyFill="1" applyBorder="1" applyAlignment="1">
      <alignment horizontal="left" vertical="center" wrapText="1"/>
    </xf>
    <xf numFmtId="0" fontId="35" fillId="34" borderId="9" xfId="0" applyFont="1" applyFill="1" applyBorder="1" applyAlignment="1">
      <alignment horizontal="left" vertical="center" wrapText="1"/>
    </xf>
    <xf numFmtId="0" fontId="35" fillId="34" borderId="10" xfId="0" applyFont="1" applyFill="1" applyBorder="1" applyAlignment="1">
      <alignment horizontal="left" vertical="center" wrapText="1"/>
    </xf>
    <xf numFmtId="14" fontId="35" fillId="31" borderId="7" xfId="0" applyNumberFormat="1" applyFont="1" applyFill="1" applyBorder="1" applyAlignment="1">
      <alignment horizontal="center" vertical="center"/>
    </xf>
    <xf numFmtId="0" fontId="35" fillId="31" borderId="9" xfId="0" applyFont="1" applyFill="1" applyBorder="1" applyAlignment="1">
      <alignment horizontal="center" vertical="center"/>
    </xf>
    <xf numFmtId="0" fontId="35" fillId="31" borderId="10" xfId="0" applyFont="1" applyFill="1" applyBorder="1" applyAlignment="1">
      <alignment horizontal="center" vertical="center"/>
    </xf>
    <xf numFmtId="14" fontId="35" fillId="41" borderId="6" xfId="0" applyNumberFormat="1" applyFont="1" applyFill="1" applyBorder="1" applyAlignment="1">
      <alignment horizontal="center" vertical="center"/>
    </xf>
    <xf numFmtId="14" fontId="35" fillId="41" borderId="7" xfId="0" applyNumberFormat="1" applyFont="1" applyFill="1" applyBorder="1" applyAlignment="1">
      <alignment horizontal="center" vertical="center"/>
    </xf>
    <xf numFmtId="0" fontId="35" fillId="41" borderId="9" xfId="0" applyFont="1" applyFill="1" applyBorder="1" applyAlignment="1">
      <alignment horizontal="center" vertical="center"/>
    </xf>
    <xf numFmtId="0" fontId="35" fillId="41" borderId="10" xfId="0" applyFont="1" applyFill="1" applyBorder="1" applyAlignment="1">
      <alignment horizontal="center" vertical="center"/>
    </xf>
    <xf numFmtId="0" fontId="35" fillId="41" borderId="6" xfId="0" applyFont="1" applyFill="1" applyBorder="1" applyAlignment="1">
      <alignment vertical="center"/>
    </xf>
    <xf numFmtId="10" fontId="35" fillId="0" borderId="6" xfId="0" applyNumberFormat="1" applyFont="1" applyBorder="1" applyAlignment="1">
      <alignment horizontal="center" vertical="center"/>
    </xf>
    <xf numFmtId="0" fontId="35" fillId="0" borderId="7" xfId="0" applyFont="1" applyBorder="1" applyAlignment="1">
      <alignment horizontal="center" vertical="center"/>
    </xf>
    <xf numFmtId="0" fontId="35" fillId="0" borderId="9" xfId="0" applyFont="1" applyBorder="1" applyAlignment="1">
      <alignment horizontal="center" vertical="center"/>
    </xf>
    <xf numFmtId="0" fontId="35" fillId="0" borderId="10" xfId="0" applyFont="1" applyBorder="1" applyAlignment="1">
      <alignment horizontal="center" vertical="center"/>
    </xf>
    <xf numFmtId="0" fontId="35" fillId="41" borderId="6" xfId="0" applyFont="1" applyFill="1" applyBorder="1" applyAlignment="1">
      <alignment vertical="center" wrapText="1"/>
    </xf>
    <xf numFmtId="10" fontId="35" fillId="41" borderId="6" xfId="0" applyNumberFormat="1" applyFont="1" applyFill="1" applyBorder="1" applyAlignment="1">
      <alignment vertical="center"/>
    </xf>
    <xf numFmtId="10" fontId="35" fillId="41" borderId="6" xfId="0" applyNumberFormat="1" applyFont="1" applyFill="1" applyBorder="1" applyAlignment="1">
      <alignment horizontal="center" vertical="center"/>
    </xf>
    <xf numFmtId="0" fontId="35" fillId="37" borderId="7" xfId="0" applyFont="1" applyFill="1" applyBorder="1" applyAlignment="1">
      <alignment horizontal="left" vertical="center" wrapText="1"/>
    </xf>
    <xf numFmtId="0" fontId="35" fillId="37" borderId="9" xfId="0" applyFont="1" applyFill="1" applyBorder="1" applyAlignment="1">
      <alignment horizontal="left" vertical="center" wrapText="1"/>
    </xf>
    <xf numFmtId="0" fontId="35" fillId="37" borderId="10" xfId="0" applyFont="1" applyFill="1" applyBorder="1" applyAlignment="1">
      <alignment horizontal="left" vertical="center" wrapText="1"/>
    </xf>
    <xf numFmtId="0" fontId="35" fillId="41" borderId="7" xfId="0" applyFont="1" applyFill="1" applyBorder="1" applyAlignment="1">
      <alignment horizontal="left" vertical="center" wrapText="1"/>
    </xf>
    <xf numFmtId="0" fontId="35" fillId="41" borderId="9" xfId="0" applyFont="1" applyFill="1" applyBorder="1" applyAlignment="1">
      <alignment horizontal="left" vertical="center" wrapText="1"/>
    </xf>
    <xf numFmtId="0" fontId="35" fillId="41" borderId="10" xfId="0" applyFont="1" applyFill="1" applyBorder="1" applyAlignment="1">
      <alignment horizontal="left" vertical="center" wrapText="1"/>
    </xf>
    <xf numFmtId="0" fontId="26" fillId="25" borderId="6" xfId="0" applyFont="1" applyFill="1" applyBorder="1" applyAlignment="1">
      <alignment horizontal="left" vertical="top"/>
    </xf>
    <xf numFmtId="0" fontId="26" fillId="25" borderId="6" xfId="0" applyFont="1" applyFill="1" applyBorder="1" applyAlignment="1">
      <alignment horizontal="left" vertical="top" wrapText="1"/>
    </xf>
    <xf numFmtId="0" fontId="0" fillId="0" borderId="0" xfId="0" applyAlignment="1">
      <alignment horizontal="left" vertical="top"/>
    </xf>
    <xf numFmtId="0" fontId="0" fillId="0" borderId="6" xfId="0" applyBorder="1" applyAlignment="1">
      <alignment horizontal="center" vertical="top"/>
    </xf>
    <xf numFmtId="0" fontId="0" fillId="0" borderId="6" xfId="0" applyBorder="1" applyAlignment="1">
      <alignment horizontal="left" vertical="top"/>
    </xf>
    <xf numFmtId="0" fontId="0" fillId="0" borderId="6" xfId="0" applyBorder="1" applyAlignment="1">
      <alignment horizontal="left" vertical="top" wrapText="1"/>
    </xf>
    <xf numFmtId="10" fontId="0" fillId="0" borderId="6" xfId="0" applyNumberFormat="1" applyBorder="1" applyAlignment="1">
      <alignment horizontal="left" vertical="top"/>
    </xf>
    <xf numFmtId="14" fontId="0" fillId="0" borderId="6" xfId="0" applyNumberFormat="1" applyBorder="1" applyAlignment="1">
      <alignment horizontal="left" vertical="top"/>
    </xf>
    <xf numFmtId="0" fontId="0" fillId="78" borderId="6" xfId="0" applyFill="1" applyBorder="1" applyAlignment="1">
      <alignment horizontal="left" vertical="top"/>
    </xf>
    <xf numFmtId="0" fontId="0" fillId="78" borderId="6" xfId="0" applyFill="1" applyBorder="1" applyAlignment="1">
      <alignment horizontal="left" vertical="top" wrapText="1"/>
    </xf>
    <xf numFmtId="0" fontId="0" fillId="78" borderId="0" xfId="0" applyFill="1" applyAlignment="1">
      <alignment horizontal="left" vertical="top"/>
    </xf>
    <xf numFmtId="0" fontId="0" fillId="78" borderId="6" xfId="0" applyFill="1" applyBorder="1" applyAlignment="1">
      <alignment vertical="top" wrapText="1"/>
    </xf>
    <xf numFmtId="0" fontId="0" fillId="78" borderId="6" xfId="0" applyFill="1" applyBorder="1" applyAlignment="1">
      <alignment vertical="top"/>
    </xf>
    <xf numFmtId="0" fontId="0" fillId="0" borderId="0" xfId="0" applyAlignment="1">
      <alignment horizontal="left" vertical="top" wrapText="1"/>
    </xf>
    <xf numFmtId="0" fontId="38" fillId="25" borderId="6" xfId="0" applyFont="1" applyFill="1" applyBorder="1"/>
    <xf numFmtId="14" fontId="0" fillId="0" borderId="6" xfId="0" applyNumberFormat="1" applyBorder="1" applyAlignment="1">
      <alignment horizontal="center" vertical="center"/>
    </xf>
    <xf numFmtId="0" fontId="0" fillId="0" borderId="6" xfId="0" applyBorder="1" applyAlignment="1">
      <alignment horizontal="center"/>
    </xf>
    <xf numFmtId="14" fontId="0" fillId="0" borderId="6" xfId="0" applyNumberFormat="1" applyBorder="1" applyAlignment="1">
      <alignment horizontal="center"/>
    </xf>
    <xf numFmtId="10" fontId="0" fillId="0" borderId="6" xfId="0" applyNumberFormat="1" applyBorder="1" applyAlignment="1">
      <alignment vertical="center"/>
    </xf>
    <xf numFmtId="0" fontId="0" fillId="0" borderId="6" xfId="0" applyBorder="1" applyAlignment="1">
      <alignment vertical="center" wrapText="1"/>
    </xf>
  </cellXfs>
  <cellStyles count="46">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11" builtinId="27" customBuiltin="1"/>
    <cellStyle name="Calculation" xfId="14" builtinId="22" customBuiltin="1"/>
    <cellStyle name="Check Cell" xfId="16" builtinId="23" customBuiltin="1"/>
    <cellStyle name="Currency" xfId="1" builtinId="4"/>
    <cellStyle name="Explanatory Text" xfId="18" builtinId="53" customBuiltin="1"/>
    <cellStyle name="Good" xfId="10" builtinId="26" customBuiltin="1"/>
    <cellStyle name="Heading 1" xfId="6" builtinId="16" customBuiltin="1"/>
    <cellStyle name="Heading 2" xfId="7" builtinId="17" customBuiltin="1"/>
    <cellStyle name="Heading 3" xfId="8" builtinId="18" customBuiltin="1"/>
    <cellStyle name="Heading 4" xfId="9" builtinId="19" customBuiltin="1"/>
    <cellStyle name="Hyperlink" xfId="2" builtinId="8"/>
    <cellStyle name="Input" xfId="4" builtinId="20" customBuiltin="1"/>
    <cellStyle name="Linked Cell" xfId="15" builtinId="24" customBuiltin="1"/>
    <cellStyle name="Neutral" xfId="12" builtinId="28" customBuiltin="1"/>
    <cellStyle name="Normal" xfId="0" builtinId="0"/>
    <cellStyle name="Normal 2" xfId="3" xr:uid="{EA5BEB12-5956-B347-A893-122D6A3BC7BA}"/>
    <cellStyle name="Normal 3" xfId="44" xr:uid="{9BFA821E-463E-4B13-B0E3-9D0893F7F495}"/>
    <cellStyle name="Note 2" xfId="45" xr:uid="{13BFBC3B-901E-4E92-BED1-A58EAA9F9B87}"/>
    <cellStyle name="Output" xfId="13" builtinId="21" customBuiltin="1"/>
    <cellStyle name="Title" xfId="5" builtinId="15" customBuiltin="1"/>
    <cellStyle name="Total" xfId="19" builtinId="25" customBuiltin="1"/>
    <cellStyle name="Warning Text" xfId="17" builtinId="11" customBuiltin="1"/>
  </cellStyles>
  <dxfs count="0"/>
  <tableStyles count="0" defaultTableStyle="TableStyleMedium9" defaultPivotStyle="PivotStyleMedium4"/>
  <colors>
    <mruColors>
      <color rgb="FFEE57AD"/>
      <color rgb="FFFFC11D"/>
      <color rgb="FFE3DAFF"/>
      <color rgb="FF6A3AFF"/>
      <color rgb="FFF1B93C"/>
      <color rgb="FFFFDCE4"/>
      <color rgb="FFED7C00"/>
      <color rgb="FF732EE0"/>
      <color rgb="FFFFBD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'EXAMPLE Multi Project Dashboard'!$D$40</c:f>
              <c:strCache>
                <c:ptCount val="1"/>
                <c:pt idx="0">
                  <c:v>BEGIN</c:v>
                </c:pt>
              </c:strCache>
            </c:strRef>
          </c:tx>
          <c:spPr>
            <a:noFill/>
            <a:ln>
              <a:noFill/>
            </a:ln>
            <a:effectLst/>
          </c:spPr>
          <c:invertIfNegative val="0"/>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Dashboard'!$D$41:$D$54</c:f>
              <c:numCache>
                <c:formatCode>mm/dd/yy;@</c:formatCode>
                <c:ptCount val="14"/>
                <c:pt idx="0">
                  <c:v>45782</c:v>
                </c:pt>
                <c:pt idx="1">
                  <c:v>45787</c:v>
                </c:pt>
                <c:pt idx="2">
                  <c:v>45818</c:v>
                </c:pt>
                <c:pt idx="3">
                  <c:v>45830</c:v>
                </c:pt>
                <c:pt idx="4">
                  <c:v>45852</c:v>
                </c:pt>
                <c:pt idx="5">
                  <c:v>45852</c:v>
                </c:pt>
                <c:pt idx="6">
                  <c:v>45870</c:v>
                </c:pt>
                <c:pt idx="7">
                  <c:v>45883</c:v>
                </c:pt>
                <c:pt idx="8">
                  <c:v>45901</c:v>
                </c:pt>
                <c:pt idx="9">
                  <c:v>45931</c:v>
                </c:pt>
                <c:pt idx="10">
                  <c:v>45931</c:v>
                </c:pt>
                <c:pt idx="11">
                  <c:v>45962</c:v>
                </c:pt>
                <c:pt idx="12">
                  <c:v>45971</c:v>
                </c:pt>
                <c:pt idx="13">
                  <c:v>45992</c:v>
                </c:pt>
              </c:numCache>
            </c:numRef>
          </c:val>
          <c:extLst>
            <c:ext xmlns:c16="http://schemas.microsoft.com/office/drawing/2014/chart" uri="{C3380CC4-5D6E-409C-BE32-E72D297353CC}">
              <c16:uniqueId val="{00000000-C5A5-0343-A123-B7EDAF0CED22}"/>
            </c:ext>
          </c:extLst>
        </c:ser>
        <c:ser>
          <c:idx val="1"/>
          <c:order val="1"/>
          <c:tx>
            <c:v>Duration</c:v>
          </c:tx>
          <c:spPr>
            <a:solidFill>
              <a:schemeClr val="accent5"/>
            </a:solidFill>
            <a:ln>
              <a:noFill/>
            </a:ln>
            <a:effectLst/>
          </c:spPr>
          <c:invertIfNegative val="0"/>
          <c:dPt>
            <c:idx val="1"/>
            <c:invertIfNegative val="0"/>
            <c:bubble3D val="0"/>
            <c:spPr>
              <a:solidFill>
                <a:srgbClr val="6A3AFF"/>
              </a:solidFill>
              <a:ln>
                <a:noFill/>
              </a:ln>
              <a:effectLst/>
            </c:spPr>
            <c:extLst>
              <c:ext xmlns:c16="http://schemas.microsoft.com/office/drawing/2014/chart" uri="{C3380CC4-5D6E-409C-BE32-E72D297353CC}">
                <c16:uniqueId val="{00000002-C5A5-0343-A123-B7EDAF0CED22}"/>
              </c:ext>
            </c:extLst>
          </c:dPt>
          <c:dPt>
            <c:idx val="2"/>
            <c:invertIfNegative val="0"/>
            <c:bubble3D val="0"/>
            <c:spPr>
              <a:solidFill>
                <a:srgbClr val="00B050"/>
              </a:solidFill>
              <a:ln>
                <a:noFill/>
              </a:ln>
              <a:effectLst/>
            </c:spPr>
            <c:extLst>
              <c:ext xmlns:c16="http://schemas.microsoft.com/office/drawing/2014/chart" uri="{C3380CC4-5D6E-409C-BE32-E72D297353CC}">
                <c16:uniqueId val="{00000004-C5A5-0343-A123-B7EDAF0CED22}"/>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6-C5A5-0343-A123-B7EDAF0CED22}"/>
              </c:ext>
            </c:extLst>
          </c:dPt>
          <c:dPt>
            <c:idx val="4"/>
            <c:invertIfNegative val="0"/>
            <c:bubble3D val="0"/>
            <c:spPr>
              <a:solidFill>
                <a:srgbClr val="FF0000"/>
              </a:solidFill>
              <a:ln>
                <a:noFill/>
              </a:ln>
              <a:effectLst/>
            </c:spPr>
            <c:extLst>
              <c:ext xmlns:c16="http://schemas.microsoft.com/office/drawing/2014/chart" uri="{C3380CC4-5D6E-409C-BE32-E72D297353CC}">
                <c16:uniqueId val="{00000008-C5A5-0343-A123-B7EDAF0CED22}"/>
              </c:ext>
            </c:extLst>
          </c:dPt>
          <c:dPt>
            <c:idx val="5"/>
            <c:invertIfNegative val="0"/>
            <c:bubble3D val="0"/>
            <c:spPr>
              <a:solidFill>
                <a:srgbClr val="92D050"/>
              </a:solidFill>
              <a:ln>
                <a:noFill/>
              </a:ln>
              <a:effectLst/>
            </c:spPr>
            <c:extLst>
              <c:ext xmlns:c16="http://schemas.microsoft.com/office/drawing/2014/chart" uri="{C3380CC4-5D6E-409C-BE32-E72D297353CC}">
                <c16:uniqueId val="{0000000A-C5A5-0343-A123-B7EDAF0CED22}"/>
              </c:ext>
            </c:extLst>
          </c:dPt>
          <c:dPt>
            <c:idx val="6"/>
            <c:invertIfNegative val="0"/>
            <c:bubble3D val="0"/>
            <c:spPr>
              <a:solidFill>
                <a:srgbClr val="EE57AD"/>
              </a:solidFill>
              <a:ln>
                <a:noFill/>
              </a:ln>
              <a:effectLst/>
            </c:spPr>
            <c:extLst>
              <c:ext xmlns:c16="http://schemas.microsoft.com/office/drawing/2014/chart" uri="{C3380CC4-5D6E-409C-BE32-E72D297353CC}">
                <c16:uniqueId val="{0000000C-C5A5-0343-A123-B7EDAF0CED22}"/>
              </c:ext>
            </c:extLst>
          </c:dPt>
          <c:dPt>
            <c:idx val="7"/>
            <c:invertIfNegative val="0"/>
            <c:bubble3D val="0"/>
            <c:spPr>
              <a:solidFill>
                <a:schemeClr val="accent4">
                  <a:lumMod val="50000"/>
                </a:schemeClr>
              </a:solidFill>
              <a:ln>
                <a:noFill/>
              </a:ln>
              <a:effectLst/>
            </c:spPr>
            <c:extLst>
              <c:ext xmlns:c16="http://schemas.microsoft.com/office/drawing/2014/chart" uri="{C3380CC4-5D6E-409C-BE32-E72D297353CC}">
                <c16:uniqueId val="{0000000E-C5A5-0343-A123-B7EDAF0CED22}"/>
              </c:ext>
            </c:extLst>
          </c:dPt>
          <c:dPt>
            <c:idx val="8"/>
            <c:invertIfNegative val="0"/>
            <c:bubble3D val="0"/>
            <c:spPr>
              <a:solidFill>
                <a:schemeClr val="accent6">
                  <a:lumMod val="75000"/>
                </a:schemeClr>
              </a:solidFill>
              <a:ln>
                <a:noFill/>
              </a:ln>
              <a:effectLst/>
            </c:spPr>
            <c:extLst>
              <c:ext xmlns:c16="http://schemas.microsoft.com/office/drawing/2014/chart" uri="{C3380CC4-5D6E-409C-BE32-E72D297353CC}">
                <c16:uniqueId val="{00000010-C5A5-0343-A123-B7EDAF0CED22}"/>
              </c:ext>
            </c:extLst>
          </c:dPt>
          <c:dPt>
            <c:idx val="9"/>
            <c:invertIfNegative val="0"/>
            <c:bubble3D val="0"/>
            <c:spPr>
              <a:solidFill>
                <a:srgbClr val="00B0F0"/>
              </a:solidFill>
              <a:ln>
                <a:noFill/>
              </a:ln>
              <a:effectLst/>
            </c:spPr>
            <c:extLst>
              <c:ext xmlns:c16="http://schemas.microsoft.com/office/drawing/2014/chart" uri="{C3380CC4-5D6E-409C-BE32-E72D297353CC}">
                <c16:uniqueId val="{00000012-C5A5-0343-A123-B7EDAF0CED22}"/>
              </c:ext>
            </c:extLst>
          </c:dPt>
          <c:dPt>
            <c:idx val="10"/>
            <c:invertIfNegative val="0"/>
            <c:bubble3D val="0"/>
            <c:spPr>
              <a:solidFill>
                <a:srgbClr val="C00000"/>
              </a:solidFill>
              <a:ln>
                <a:noFill/>
              </a:ln>
              <a:effectLst/>
            </c:spPr>
            <c:extLst>
              <c:ext xmlns:c16="http://schemas.microsoft.com/office/drawing/2014/chart" uri="{C3380CC4-5D6E-409C-BE32-E72D297353CC}">
                <c16:uniqueId val="{00000014-C5A5-0343-A123-B7EDAF0CED22}"/>
              </c:ext>
            </c:extLst>
          </c:dPt>
          <c:dPt>
            <c:idx val="11"/>
            <c:invertIfNegative val="0"/>
            <c:bubble3D val="0"/>
            <c:spPr>
              <a:solidFill>
                <a:schemeClr val="accent2">
                  <a:lumMod val="75000"/>
                </a:schemeClr>
              </a:solidFill>
              <a:ln>
                <a:noFill/>
              </a:ln>
              <a:effectLst/>
            </c:spPr>
            <c:extLst>
              <c:ext xmlns:c16="http://schemas.microsoft.com/office/drawing/2014/chart" uri="{C3380CC4-5D6E-409C-BE32-E72D297353CC}">
                <c16:uniqueId val="{00000016-C5A5-0343-A123-B7EDAF0CED22}"/>
              </c:ext>
            </c:extLst>
          </c:dPt>
          <c:dPt>
            <c:idx val="1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8-C5A5-0343-A123-B7EDAF0CED22}"/>
              </c:ext>
            </c:extLst>
          </c:dPt>
          <c:dPt>
            <c:idx val="13"/>
            <c:invertIfNegative val="0"/>
            <c:bubble3D val="0"/>
            <c:spPr>
              <a:solidFill>
                <a:srgbClr val="FFC11D"/>
              </a:solidFill>
              <a:ln>
                <a:noFill/>
              </a:ln>
              <a:effectLst/>
            </c:spPr>
            <c:extLst>
              <c:ext xmlns:c16="http://schemas.microsoft.com/office/drawing/2014/chart" uri="{C3380CC4-5D6E-409C-BE32-E72D297353CC}">
                <c16:uniqueId val="{0000001A-C5A5-0343-A123-B7EDAF0CED22}"/>
              </c:ext>
            </c:extLst>
          </c:dPt>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Dashboard'!$F$41:$F$54</c:f>
              <c:numCache>
                <c:formatCode>General</c:formatCode>
                <c:ptCount val="14"/>
                <c:pt idx="0">
                  <c:v>57</c:v>
                </c:pt>
                <c:pt idx="1">
                  <c:v>92</c:v>
                </c:pt>
                <c:pt idx="2">
                  <c:v>264</c:v>
                </c:pt>
                <c:pt idx="3">
                  <c:v>43</c:v>
                </c:pt>
                <c:pt idx="4">
                  <c:v>110</c:v>
                </c:pt>
                <c:pt idx="5">
                  <c:v>190</c:v>
                </c:pt>
                <c:pt idx="6">
                  <c:v>61</c:v>
                </c:pt>
                <c:pt idx="7">
                  <c:v>16</c:v>
                </c:pt>
                <c:pt idx="8">
                  <c:v>100</c:v>
                </c:pt>
                <c:pt idx="9">
                  <c:v>45</c:v>
                </c:pt>
                <c:pt idx="10">
                  <c:v>61</c:v>
                </c:pt>
                <c:pt idx="11">
                  <c:v>30</c:v>
                </c:pt>
                <c:pt idx="12">
                  <c:v>30</c:v>
                </c:pt>
                <c:pt idx="13">
                  <c:v>71</c:v>
                </c:pt>
              </c:numCache>
            </c:numRef>
          </c:val>
          <c:extLst>
            <c:ext xmlns:c16="http://schemas.microsoft.com/office/drawing/2014/chart" uri="{C3380CC4-5D6E-409C-BE32-E72D297353CC}">
              <c16:uniqueId val="{0000001B-C5A5-0343-A123-B7EDAF0CED22}"/>
            </c:ext>
          </c:extLst>
        </c:ser>
        <c:dLbls>
          <c:showLegendKey val="0"/>
          <c:showVal val="0"/>
          <c:showCatName val="0"/>
          <c:showSerName val="0"/>
          <c:showPercent val="0"/>
          <c:showBubbleSize val="0"/>
        </c:dLbls>
        <c:gapWidth val="77"/>
        <c:overlap val="100"/>
        <c:axId val="2120620376"/>
        <c:axId val="-2105395848"/>
      </c:barChart>
      <c:catAx>
        <c:axId val="212062037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05395848"/>
        <c:crosses val="autoZero"/>
        <c:auto val="1"/>
        <c:lblAlgn val="ctr"/>
        <c:lblOffset val="100"/>
        <c:noMultiLvlLbl val="0"/>
      </c:catAx>
      <c:valAx>
        <c:axId val="-2105395848"/>
        <c:scaling>
          <c:orientation val="minMax"/>
          <c:min val="45770"/>
        </c:scaling>
        <c:delete val="0"/>
        <c:axPos val="t"/>
        <c:majorGridlines>
          <c:spPr>
            <a:ln w="9525" cap="flat" cmpd="sng" algn="ctr">
              <a:solidFill>
                <a:schemeClr val="tx1">
                  <a:lumMod val="15000"/>
                  <a:lumOff val="85000"/>
                </a:schemeClr>
              </a:solidFill>
              <a:round/>
            </a:ln>
            <a:effectLst/>
          </c:spPr>
        </c:majorGridlines>
        <c:numFmt formatCode="mm/dd/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20620376"/>
        <c:crosses val="autoZero"/>
        <c:crossBetween val="between"/>
        <c:majorUnit val="30"/>
      </c:valAx>
      <c:spPr>
        <a:noFill/>
        <a:ln>
          <a:noFill/>
        </a:ln>
        <a:effectLst/>
      </c:spPr>
    </c:plotArea>
    <c:plotVisOnly val="1"/>
    <c:dispBlanksAs val="gap"/>
    <c:showDLblsOverMax val="0"/>
  </c:chart>
  <c:spPr>
    <a:noFill/>
    <a:ln w="9525" cap="flat" cmpd="sng" algn="ctr">
      <a:noFill/>
      <a:round/>
    </a:ln>
    <a:effectLst/>
  </c:spPr>
  <c:txPr>
    <a:bodyPr/>
    <a:lstStyle/>
    <a:p>
      <a:pPr>
        <a:defRPr b="0" i="0">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r>
              <a:rPr lang="en-US"/>
              <a:t>DAYS per PROJECT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endParaRPr lang="en-US"/>
        </a:p>
      </c:txPr>
    </c:title>
    <c:autoTitleDeleted val="0"/>
    <c:plotArea>
      <c:layout/>
      <c:barChart>
        <c:barDir val="col"/>
        <c:grouping val="clustered"/>
        <c:varyColors val="0"/>
        <c:ser>
          <c:idx val="0"/>
          <c:order val="0"/>
          <c:tx>
            <c:strRef>
              <c:f>'EXAMPLE Multi Project Dashboard'!$F$40</c:f>
              <c:strCache>
                <c:ptCount val="1"/>
                <c:pt idx="0">
                  <c:v># of DAYS</c:v>
                </c:pt>
              </c:strCache>
            </c:strRef>
          </c:tx>
          <c:spPr>
            <a:solidFill>
              <a:schemeClr val="accent1"/>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1-0D30-3746-8B06-B570C7C8F061}"/>
              </c:ext>
            </c:extLst>
          </c:dPt>
          <c:dPt>
            <c:idx val="1"/>
            <c:invertIfNegative val="0"/>
            <c:bubble3D val="0"/>
            <c:spPr>
              <a:solidFill>
                <a:srgbClr val="6A3AFF"/>
              </a:solidFill>
              <a:ln>
                <a:noFill/>
              </a:ln>
              <a:effectLst/>
            </c:spPr>
            <c:extLst>
              <c:ext xmlns:c16="http://schemas.microsoft.com/office/drawing/2014/chart" uri="{C3380CC4-5D6E-409C-BE32-E72D297353CC}">
                <c16:uniqueId val="{00000003-0D30-3746-8B06-B570C7C8F061}"/>
              </c:ext>
            </c:extLst>
          </c:dPt>
          <c:dPt>
            <c:idx val="2"/>
            <c:invertIfNegative val="0"/>
            <c:bubble3D val="0"/>
            <c:spPr>
              <a:solidFill>
                <a:srgbClr val="00B050"/>
              </a:solidFill>
              <a:ln>
                <a:noFill/>
              </a:ln>
              <a:effectLst/>
            </c:spPr>
            <c:extLst>
              <c:ext xmlns:c16="http://schemas.microsoft.com/office/drawing/2014/chart" uri="{C3380CC4-5D6E-409C-BE32-E72D297353CC}">
                <c16:uniqueId val="{00000005-0D30-3746-8B06-B570C7C8F061}"/>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0D30-3746-8B06-B570C7C8F061}"/>
              </c:ext>
            </c:extLst>
          </c:dPt>
          <c:dPt>
            <c:idx val="4"/>
            <c:invertIfNegative val="0"/>
            <c:bubble3D val="0"/>
            <c:spPr>
              <a:solidFill>
                <a:srgbClr val="FF0000"/>
              </a:solidFill>
              <a:ln>
                <a:noFill/>
              </a:ln>
              <a:effectLst/>
            </c:spPr>
            <c:extLst>
              <c:ext xmlns:c16="http://schemas.microsoft.com/office/drawing/2014/chart" uri="{C3380CC4-5D6E-409C-BE32-E72D297353CC}">
                <c16:uniqueId val="{00000009-0D30-3746-8B06-B570C7C8F061}"/>
              </c:ext>
            </c:extLst>
          </c:dPt>
          <c:dPt>
            <c:idx val="5"/>
            <c:invertIfNegative val="0"/>
            <c:bubble3D val="0"/>
            <c:spPr>
              <a:solidFill>
                <a:srgbClr val="92D050"/>
              </a:solidFill>
              <a:ln>
                <a:noFill/>
              </a:ln>
              <a:effectLst/>
            </c:spPr>
            <c:extLst>
              <c:ext xmlns:c16="http://schemas.microsoft.com/office/drawing/2014/chart" uri="{C3380CC4-5D6E-409C-BE32-E72D297353CC}">
                <c16:uniqueId val="{0000000B-0D30-3746-8B06-B570C7C8F061}"/>
              </c:ext>
            </c:extLst>
          </c:dPt>
          <c:dPt>
            <c:idx val="6"/>
            <c:invertIfNegative val="0"/>
            <c:bubble3D val="0"/>
            <c:spPr>
              <a:solidFill>
                <a:srgbClr val="EE57AD"/>
              </a:solidFill>
              <a:ln>
                <a:noFill/>
              </a:ln>
              <a:effectLst/>
            </c:spPr>
            <c:extLst>
              <c:ext xmlns:c16="http://schemas.microsoft.com/office/drawing/2014/chart" uri="{C3380CC4-5D6E-409C-BE32-E72D297353CC}">
                <c16:uniqueId val="{0000000D-0D30-3746-8B06-B570C7C8F061}"/>
              </c:ext>
            </c:extLst>
          </c:dPt>
          <c:dPt>
            <c:idx val="7"/>
            <c:invertIfNegative val="0"/>
            <c:bubble3D val="0"/>
            <c:spPr>
              <a:solidFill>
                <a:schemeClr val="accent4">
                  <a:lumMod val="50000"/>
                </a:schemeClr>
              </a:solidFill>
              <a:ln>
                <a:noFill/>
              </a:ln>
              <a:effectLst/>
            </c:spPr>
            <c:extLst>
              <c:ext xmlns:c16="http://schemas.microsoft.com/office/drawing/2014/chart" uri="{C3380CC4-5D6E-409C-BE32-E72D297353CC}">
                <c16:uniqueId val="{0000000F-0D30-3746-8B06-B570C7C8F061}"/>
              </c:ext>
            </c:extLst>
          </c:dPt>
          <c:dPt>
            <c:idx val="8"/>
            <c:invertIfNegative val="0"/>
            <c:bubble3D val="0"/>
            <c:spPr>
              <a:solidFill>
                <a:schemeClr val="accent6">
                  <a:lumMod val="75000"/>
                </a:schemeClr>
              </a:solidFill>
              <a:ln>
                <a:noFill/>
              </a:ln>
              <a:effectLst/>
            </c:spPr>
            <c:extLst>
              <c:ext xmlns:c16="http://schemas.microsoft.com/office/drawing/2014/chart" uri="{C3380CC4-5D6E-409C-BE32-E72D297353CC}">
                <c16:uniqueId val="{00000011-0D30-3746-8B06-B570C7C8F061}"/>
              </c:ext>
            </c:extLst>
          </c:dPt>
          <c:dPt>
            <c:idx val="9"/>
            <c:invertIfNegative val="0"/>
            <c:bubble3D val="0"/>
            <c:spPr>
              <a:solidFill>
                <a:srgbClr val="00B0F0"/>
              </a:solidFill>
              <a:ln>
                <a:noFill/>
              </a:ln>
              <a:effectLst/>
            </c:spPr>
            <c:extLst>
              <c:ext xmlns:c16="http://schemas.microsoft.com/office/drawing/2014/chart" uri="{C3380CC4-5D6E-409C-BE32-E72D297353CC}">
                <c16:uniqueId val="{00000013-0D30-3746-8B06-B570C7C8F061}"/>
              </c:ext>
            </c:extLst>
          </c:dPt>
          <c:dPt>
            <c:idx val="10"/>
            <c:invertIfNegative val="0"/>
            <c:bubble3D val="0"/>
            <c:spPr>
              <a:solidFill>
                <a:srgbClr val="C00000"/>
              </a:solidFill>
              <a:ln>
                <a:noFill/>
              </a:ln>
              <a:effectLst/>
            </c:spPr>
            <c:extLst>
              <c:ext xmlns:c16="http://schemas.microsoft.com/office/drawing/2014/chart" uri="{C3380CC4-5D6E-409C-BE32-E72D297353CC}">
                <c16:uniqueId val="{00000015-0D30-3746-8B06-B570C7C8F061}"/>
              </c:ext>
            </c:extLst>
          </c:dPt>
          <c:dPt>
            <c:idx val="11"/>
            <c:invertIfNegative val="0"/>
            <c:bubble3D val="0"/>
            <c:spPr>
              <a:solidFill>
                <a:schemeClr val="accent2">
                  <a:lumMod val="75000"/>
                </a:schemeClr>
              </a:solidFill>
              <a:ln>
                <a:noFill/>
              </a:ln>
              <a:effectLst/>
            </c:spPr>
            <c:extLst>
              <c:ext xmlns:c16="http://schemas.microsoft.com/office/drawing/2014/chart" uri="{C3380CC4-5D6E-409C-BE32-E72D297353CC}">
                <c16:uniqueId val="{00000017-0D30-3746-8B06-B570C7C8F061}"/>
              </c:ext>
            </c:extLst>
          </c:dPt>
          <c:dPt>
            <c:idx val="1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9-0D30-3746-8B06-B570C7C8F061}"/>
              </c:ext>
            </c:extLst>
          </c:dPt>
          <c:dPt>
            <c:idx val="13"/>
            <c:invertIfNegative val="0"/>
            <c:bubble3D val="0"/>
            <c:spPr>
              <a:solidFill>
                <a:srgbClr val="FFC11D"/>
              </a:solidFill>
              <a:ln>
                <a:noFill/>
              </a:ln>
              <a:effectLst/>
            </c:spPr>
            <c:extLst>
              <c:ext xmlns:c16="http://schemas.microsoft.com/office/drawing/2014/chart" uri="{C3380CC4-5D6E-409C-BE32-E72D297353CC}">
                <c16:uniqueId val="{0000001B-0D30-3746-8B06-B570C7C8F061}"/>
              </c:ext>
            </c:extLst>
          </c:dPt>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Dashboard'!$F$41:$F$54</c:f>
              <c:numCache>
                <c:formatCode>General</c:formatCode>
                <c:ptCount val="14"/>
                <c:pt idx="0">
                  <c:v>57</c:v>
                </c:pt>
                <c:pt idx="1">
                  <c:v>92</c:v>
                </c:pt>
                <c:pt idx="2">
                  <c:v>264</c:v>
                </c:pt>
                <c:pt idx="3">
                  <c:v>43</c:v>
                </c:pt>
                <c:pt idx="4">
                  <c:v>110</c:v>
                </c:pt>
                <c:pt idx="5">
                  <c:v>190</c:v>
                </c:pt>
                <c:pt idx="6">
                  <c:v>61</c:v>
                </c:pt>
                <c:pt idx="7">
                  <c:v>16</c:v>
                </c:pt>
                <c:pt idx="8">
                  <c:v>100</c:v>
                </c:pt>
                <c:pt idx="9">
                  <c:v>45</c:v>
                </c:pt>
                <c:pt idx="10">
                  <c:v>61</c:v>
                </c:pt>
                <c:pt idx="11">
                  <c:v>30</c:v>
                </c:pt>
                <c:pt idx="12">
                  <c:v>30</c:v>
                </c:pt>
                <c:pt idx="13">
                  <c:v>71</c:v>
                </c:pt>
              </c:numCache>
            </c:numRef>
          </c:val>
          <c:extLst>
            <c:ext xmlns:c16="http://schemas.microsoft.com/office/drawing/2014/chart" uri="{C3380CC4-5D6E-409C-BE32-E72D297353CC}">
              <c16:uniqueId val="{0000001C-0D30-3746-8B06-B570C7C8F061}"/>
            </c:ext>
          </c:extLst>
        </c:ser>
        <c:dLbls>
          <c:showLegendKey val="0"/>
          <c:showVal val="0"/>
          <c:showCatName val="0"/>
          <c:showSerName val="0"/>
          <c:showPercent val="0"/>
          <c:showBubbleSize val="0"/>
        </c:dLbls>
        <c:gapWidth val="150"/>
        <c:axId val="-2139417400"/>
        <c:axId val="-2139589144"/>
      </c:barChart>
      <c:catAx>
        <c:axId val="-2139417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39589144"/>
        <c:crosses val="autoZero"/>
        <c:auto val="1"/>
        <c:lblAlgn val="ctr"/>
        <c:lblOffset val="100"/>
        <c:noMultiLvlLbl val="0"/>
      </c:catAx>
      <c:valAx>
        <c:axId val="-2139589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3941740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r>
              <a:rPr lang="en-US"/>
              <a:t>RESOURCE ALLOCATION</a:t>
            </a:r>
          </a:p>
        </c:rich>
      </c:tx>
      <c:layout>
        <c:manualLayout>
          <c:xMode val="edge"/>
          <c:yMode val="edge"/>
          <c:x val="0.132943143812709"/>
          <c:y val="3.44827586206895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endParaRPr lang="en-US"/>
        </a:p>
      </c:txPr>
    </c:title>
    <c:autoTitleDeleted val="0"/>
    <c:plotArea>
      <c:layout>
        <c:manualLayout>
          <c:layoutTarget val="inner"/>
          <c:xMode val="edge"/>
          <c:yMode val="edge"/>
          <c:x val="5.68528802320762E-2"/>
          <c:y val="0.15806815096388799"/>
          <c:w val="0.63616272965879295"/>
          <c:h val="0.78149300841705105"/>
        </c:manualLayout>
      </c:layout>
      <c:pieChart>
        <c:varyColors val="1"/>
        <c:ser>
          <c:idx val="0"/>
          <c:order val="0"/>
          <c:spPr>
            <a:ln>
              <a:noFill/>
            </a:ln>
          </c:spPr>
          <c:dPt>
            <c:idx val="0"/>
            <c:bubble3D val="0"/>
            <c:spPr>
              <a:solidFill>
                <a:schemeClr val="accent5"/>
              </a:solidFill>
              <a:ln w="19050">
                <a:noFill/>
              </a:ln>
              <a:effectLst/>
            </c:spPr>
            <c:extLst>
              <c:ext xmlns:c16="http://schemas.microsoft.com/office/drawing/2014/chart" uri="{C3380CC4-5D6E-409C-BE32-E72D297353CC}">
                <c16:uniqueId val="{00000001-AEE0-9247-9F63-A34CA2E902FA}"/>
              </c:ext>
            </c:extLst>
          </c:dPt>
          <c:dPt>
            <c:idx val="1"/>
            <c:bubble3D val="0"/>
            <c:spPr>
              <a:solidFill>
                <a:srgbClr val="732EE0"/>
              </a:solidFill>
              <a:ln w="19050">
                <a:noFill/>
              </a:ln>
              <a:effectLst/>
            </c:spPr>
            <c:extLst>
              <c:ext xmlns:c16="http://schemas.microsoft.com/office/drawing/2014/chart" uri="{C3380CC4-5D6E-409C-BE32-E72D297353CC}">
                <c16:uniqueId val="{00000003-AEE0-9247-9F63-A34CA2E902FA}"/>
              </c:ext>
            </c:extLst>
          </c:dPt>
          <c:dPt>
            <c:idx val="2"/>
            <c:bubble3D val="0"/>
            <c:spPr>
              <a:solidFill>
                <a:srgbClr val="00B050"/>
              </a:solidFill>
              <a:ln w="19050">
                <a:noFill/>
              </a:ln>
              <a:effectLst/>
            </c:spPr>
            <c:extLst>
              <c:ext xmlns:c16="http://schemas.microsoft.com/office/drawing/2014/chart" uri="{C3380CC4-5D6E-409C-BE32-E72D297353CC}">
                <c16:uniqueId val="{00000005-AEE0-9247-9F63-A34CA2E902FA}"/>
              </c:ext>
            </c:extLst>
          </c:dPt>
          <c:dPt>
            <c:idx val="3"/>
            <c:bubble3D val="0"/>
            <c:spPr>
              <a:solidFill>
                <a:schemeClr val="accent4"/>
              </a:solidFill>
              <a:ln w="19050">
                <a:noFill/>
              </a:ln>
              <a:effectLst/>
            </c:spPr>
            <c:extLst>
              <c:ext xmlns:c16="http://schemas.microsoft.com/office/drawing/2014/chart" uri="{C3380CC4-5D6E-409C-BE32-E72D297353CC}">
                <c16:uniqueId val="{00000007-AEE0-9247-9F63-A34CA2E902FA}"/>
              </c:ext>
            </c:extLst>
          </c:dPt>
          <c:dPt>
            <c:idx val="4"/>
            <c:bubble3D val="0"/>
            <c:spPr>
              <a:solidFill>
                <a:srgbClr val="FF0000"/>
              </a:solidFill>
              <a:ln w="19050">
                <a:noFill/>
              </a:ln>
              <a:effectLst/>
            </c:spPr>
            <c:extLst>
              <c:ext xmlns:c16="http://schemas.microsoft.com/office/drawing/2014/chart" uri="{C3380CC4-5D6E-409C-BE32-E72D297353CC}">
                <c16:uniqueId val="{00000009-AEE0-9247-9F63-A34CA2E902FA}"/>
              </c:ext>
            </c:extLst>
          </c:dPt>
          <c:dPt>
            <c:idx val="5"/>
            <c:bubble3D val="0"/>
            <c:spPr>
              <a:solidFill>
                <a:srgbClr val="92D050"/>
              </a:solidFill>
              <a:ln w="19050">
                <a:noFill/>
              </a:ln>
              <a:effectLst/>
            </c:spPr>
            <c:extLst>
              <c:ext xmlns:c16="http://schemas.microsoft.com/office/drawing/2014/chart" uri="{C3380CC4-5D6E-409C-BE32-E72D297353CC}">
                <c16:uniqueId val="{0000000B-AEE0-9247-9F63-A34CA2E902FA}"/>
              </c:ext>
            </c:extLst>
          </c:dPt>
          <c:dPt>
            <c:idx val="6"/>
            <c:bubble3D val="0"/>
            <c:spPr>
              <a:solidFill>
                <a:srgbClr val="EE57AD"/>
              </a:solidFill>
              <a:ln w="19050">
                <a:noFill/>
              </a:ln>
              <a:effectLst/>
            </c:spPr>
            <c:extLst>
              <c:ext xmlns:c16="http://schemas.microsoft.com/office/drawing/2014/chart" uri="{C3380CC4-5D6E-409C-BE32-E72D297353CC}">
                <c16:uniqueId val="{0000000D-AEE0-9247-9F63-A34CA2E902FA}"/>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AEE0-9247-9F63-A34CA2E902FA}"/>
              </c:ext>
            </c:extLst>
          </c:dPt>
          <c:dPt>
            <c:idx val="8"/>
            <c:bubble3D val="0"/>
            <c:spPr>
              <a:solidFill>
                <a:schemeClr val="accent6">
                  <a:lumMod val="75000"/>
                </a:schemeClr>
              </a:solidFill>
              <a:ln w="19050">
                <a:noFill/>
              </a:ln>
              <a:effectLst/>
            </c:spPr>
            <c:extLst>
              <c:ext xmlns:c16="http://schemas.microsoft.com/office/drawing/2014/chart" uri="{C3380CC4-5D6E-409C-BE32-E72D297353CC}">
                <c16:uniqueId val="{00000011-AEE0-9247-9F63-A34CA2E902FA}"/>
              </c:ext>
            </c:extLst>
          </c:dPt>
          <c:dPt>
            <c:idx val="9"/>
            <c:bubble3D val="0"/>
            <c:spPr>
              <a:solidFill>
                <a:srgbClr val="00B0F0"/>
              </a:solidFill>
              <a:ln w="19050">
                <a:noFill/>
              </a:ln>
              <a:effectLst/>
            </c:spPr>
            <c:extLst>
              <c:ext xmlns:c16="http://schemas.microsoft.com/office/drawing/2014/chart" uri="{C3380CC4-5D6E-409C-BE32-E72D297353CC}">
                <c16:uniqueId val="{00000013-AEE0-9247-9F63-A34CA2E902FA}"/>
              </c:ext>
            </c:extLst>
          </c:dPt>
          <c:dPt>
            <c:idx val="10"/>
            <c:bubble3D val="0"/>
            <c:spPr>
              <a:solidFill>
                <a:srgbClr val="C00000"/>
              </a:solidFill>
              <a:ln w="19050">
                <a:noFill/>
              </a:ln>
              <a:effectLst/>
            </c:spPr>
            <c:extLst>
              <c:ext xmlns:c16="http://schemas.microsoft.com/office/drawing/2014/chart" uri="{C3380CC4-5D6E-409C-BE32-E72D297353CC}">
                <c16:uniqueId val="{00000015-AEE0-9247-9F63-A34CA2E902FA}"/>
              </c:ext>
            </c:extLst>
          </c:dPt>
          <c:dPt>
            <c:idx val="11"/>
            <c:bubble3D val="0"/>
            <c:spPr>
              <a:solidFill>
                <a:schemeClr val="accent2">
                  <a:lumMod val="75000"/>
                </a:schemeClr>
              </a:solidFill>
              <a:ln w="19050">
                <a:noFill/>
              </a:ln>
              <a:effectLst/>
            </c:spPr>
            <c:extLst>
              <c:ext xmlns:c16="http://schemas.microsoft.com/office/drawing/2014/chart" uri="{C3380CC4-5D6E-409C-BE32-E72D297353CC}">
                <c16:uniqueId val="{00000017-AEE0-9247-9F63-A34CA2E902FA}"/>
              </c:ext>
            </c:extLst>
          </c:dPt>
          <c:dPt>
            <c:idx val="12"/>
            <c:bubble3D val="0"/>
            <c:spPr>
              <a:solidFill>
                <a:schemeClr val="accent1">
                  <a:lumMod val="60000"/>
                  <a:lumOff val="40000"/>
                </a:schemeClr>
              </a:solidFill>
              <a:ln w="19050">
                <a:noFill/>
              </a:ln>
              <a:effectLst/>
            </c:spPr>
            <c:extLst>
              <c:ext xmlns:c16="http://schemas.microsoft.com/office/drawing/2014/chart" uri="{C3380CC4-5D6E-409C-BE32-E72D297353CC}">
                <c16:uniqueId val="{00000019-AEE0-9247-9F63-A34CA2E902FA}"/>
              </c:ext>
            </c:extLst>
          </c:dPt>
          <c:dPt>
            <c:idx val="13"/>
            <c:bubble3D val="0"/>
            <c:spPr>
              <a:solidFill>
                <a:srgbClr val="FFC000"/>
              </a:solidFill>
              <a:ln w="19050">
                <a:noFill/>
              </a:ln>
              <a:effectLst/>
            </c:spPr>
            <c:extLst>
              <c:ext xmlns:c16="http://schemas.microsoft.com/office/drawing/2014/chart" uri="{C3380CC4-5D6E-409C-BE32-E72D297353CC}">
                <c16:uniqueId val="{0000001B-AEE0-9247-9F63-A34CA2E902FA}"/>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entury Gothic" panose="020B0502020202020204" pitchFamily="34" charset="0"/>
                    <a:ea typeface="Arial" charset="0"/>
                    <a:cs typeface="Arial"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Dashboard'!$G$41:$G$54</c:f>
              <c:numCache>
                <c:formatCode>General</c:formatCode>
                <c:ptCount val="14"/>
                <c:pt idx="0">
                  <c:v>10</c:v>
                </c:pt>
                <c:pt idx="1">
                  <c:v>5</c:v>
                </c:pt>
                <c:pt idx="2">
                  <c:v>10</c:v>
                </c:pt>
                <c:pt idx="3">
                  <c:v>5</c:v>
                </c:pt>
                <c:pt idx="4">
                  <c:v>10</c:v>
                </c:pt>
                <c:pt idx="5">
                  <c:v>5</c:v>
                </c:pt>
                <c:pt idx="6">
                  <c:v>10</c:v>
                </c:pt>
                <c:pt idx="7">
                  <c:v>5</c:v>
                </c:pt>
                <c:pt idx="8">
                  <c:v>10</c:v>
                </c:pt>
                <c:pt idx="9">
                  <c:v>5</c:v>
                </c:pt>
                <c:pt idx="10">
                  <c:v>10</c:v>
                </c:pt>
                <c:pt idx="11">
                  <c:v>5</c:v>
                </c:pt>
                <c:pt idx="12">
                  <c:v>10</c:v>
                </c:pt>
                <c:pt idx="13">
                  <c:v>5</c:v>
                </c:pt>
              </c:numCache>
            </c:numRef>
          </c:val>
          <c:extLst>
            <c:ext xmlns:c16="http://schemas.microsoft.com/office/drawing/2014/chart" uri="{C3380CC4-5D6E-409C-BE32-E72D297353CC}">
              <c16:uniqueId val="{0000001C-AEE0-9247-9F63-A34CA2E902F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7161377821083399"/>
          <c:y val="1.9434564213956E-2"/>
          <c:w val="0.201630368946357"/>
          <c:h val="0.980565435786044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legend>
    <c:plotVisOnly val="1"/>
    <c:dispBlanksAs val="zero"/>
    <c:showDLblsOverMax val="0"/>
  </c:chart>
  <c:spPr>
    <a:solidFill>
      <a:schemeClr val="bg1"/>
    </a:solidFill>
    <a:ln w="9525" cap="flat" cmpd="sng" algn="ctr">
      <a:noFill/>
      <a:round/>
    </a:ln>
    <a:effectLst/>
  </c:spPr>
  <c:txPr>
    <a:bodyPr/>
    <a:lstStyle/>
    <a:p>
      <a:pPr>
        <a:defRPr>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'EXAMPLE Multi Project Dashboard'!$H$40</c:f>
              <c:strCache>
                <c:ptCount val="1"/>
                <c:pt idx="0">
                  <c:v>PROJECTED</c:v>
                </c:pt>
              </c:strCache>
            </c:strRef>
          </c:tx>
          <c:spPr>
            <a:solidFill>
              <a:srgbClr val="7030A0"/>
            </a:solidFill>
            <a:ln>
              <a:noFill/>
            </a:ln>
            <a:effectLst/>
          </c:spPr>
          <c:invertIfNegative val="0"/>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Dashboard'!$H$41:$H$54</c:f>
              <c:numCache>
                <c:formatCode>"$"#,##0</c:formatCode>
                <c:ptCount val="14"/>
                <c:pt idx="0">
                  <c:v>1000000</c:v>
                </c:pt>
                <c:pt idx="1">
                  <c:v>900000</c:v>
                </c:pt>
                <c:pt idx="2">
                  <c:v>860000</c:v>
                </c:pt>
                <c:pt idx="3">
                  <c:v>1000000</c:v>
                </c:pt>
                <c:pt idx="4">
                  <c:v>294000</c:v>
                </c:pt>
                <c:pt idx="5">
                  <c:v>123400</c:v>
                </c:pt>
                <c:pt idx="6">
                  <c:v>250500</c:v>
                </c:pt>
                <c:pt idx="7">
                  <c:v>127200</c:v>
                </c:pt>
                <c:pt idx="8">
                  <c:v>80000</c:v>
                </c:pt>
                <c:pt idx="9">
                  <c:v>77000</c:v>
                </c:pt>
                <c:pt idx="10">
                  <c:v>65000</c:v>
                </c:pt>
                <c:pt idx="11">
                  <c:v>550000</c:v>
                </c:pt>
                <c:pt idx="12">
                  <c:v>45000</c:v>
                </c:pt>
                <c:pt idx="13">
                  <c:v>32500</c:v>
                </c:pt>
              </c:numCache>
            </c:numRef>
          </c:val>
          <c:extLst>
            <c:ext xmlns:c16="http://schemas.microsoft.com/office/drawing/2014/chart" uri="{C3380CC4-5D6E-409C-BE32-E72D297353CC}">
              <c16:uniqueId val="{00000000-EF45-9B43-9D0D-35872F08CB27}"/>
            </c:ext>
          </c:extLst>
        </c:ser>
        <c:ser>
          <c:idx val="1"/>
          <c:order val="1"/>
          <c:tx>
            <c:strRef>
              <c:f>'EXAMPLE Multi Project Dashboard'!$I$40</c:f>
              <c:strCache>
                <c:ptCount val="1"/>
                <c:pt idx="0">
                  <c:v>ACTUAL</c:v>
                </c:pt>
              </c:strCache>
            </c:strRef>
          </c:tx>
          <c:spPr>
            <a:solidFill>
              <a:srgbClr val="00B0F0"/>
            </a:solidFill>
            <a:ln>
              <a:noFill/>
            </a:ln>
            <a:effectLst/>
          </c:spPr>
          <c:invertIfNegative val="0"/>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Dashboard'!$I$41:$I$54</c:f>
              <c:numCache>
                <c:formatCode>"$"#,##0</c:formatCode>
                <c:ptCount val="14"/>
                <c:pt idx="0">
                  <c:v>880000</c:v>
                </c:pt>
                <c:pt idx="1">
                  <c:v>920000</c:v>
                </c:pt>
                <c:pt idx="2">
                  <c:v>850000</c:v>
                </c:pt>
                <c:pt idx="3">
                  <c:v>998050</c:v>
                </c:pt>
                <c:pt idx="4">
                  <c:v>280000</c:v>
                </c:pt>
                <c:pt idx="5">
                  <c:v>125000</c:v>
                </c:pt>
                <c:pt idx="6">
                  <c:v>246000</c:v>
                </c:pt>
                <c:pt idx="7">
                  <c:v>126000</c:v>
                </c:pt>
                <c:pt idx="8">
                  <c:v>79900</c:v>
                </c:pt>
                <c:pt idx="9">
                  <c:v>77000</c:v>
                </c:pt>
                <c:pt idx="10">
                  <c:v>65000</c:v>
                </c:pt>
                <c:pt idx="11">
                  <c:v>551000</c:v>
                </c:pt>
                <c:pt idx="12">
                  <c:v>42000</c:v>
                </c:pt>
                <c:pt idx="13">
                  <c:v>33000</c:v>
                </c:pt>
              </c:numCache>
            </c:numRef>
          </c:val>
          <c:extLst>
            <c:ext xmlns:c16="http://schemas.microsoft.com/office/drawing/2014/chart" uri="{C3380CC4-5D6E-409C-BE32-E72D297353CC}">
              <c16:uniqueId val="{00000001-EF45-9B43-9D0D-35872F08CB27}"/>
            </c:ext>
          </c:extLst>
        </c:ser>
        <c:ser>
          <c:idx val="2"/>
          <c:order val="2"/>
          <c:tx>
            <c:strRef>
              <c:f>'EXAMPLE Multi Project Dashboard'!$J$40</c:f>
              <c:strCache>
                <c:ptCount val="1"/>
                <c:pt idx="0">
                  <c:v>REMAINDER</c:v>
                </c:pt>
              </c:strCache>
            </c:strRef>
          </c:tx>
          <c:spPr>
            <a:solidFill>
              <a:srgbClr val="92D050"/>
            </a:solidFill>
            <a:ln>
              <a:noFill/>
            </a:ln>
            <a:effectLst/>
          </c:spPr>
          <c:invertIfNegative val="0"/>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Dashboard'!$J$41:$J$54</c:f>
              <c:numCache>
                <c:formatCode>"$"#,##0</c:formatCode>
                <c:ptCount val="14"/>
                <c:pt idx="0">
                  <c:v>120000</c:v>
                </c:pt>
                <c:pt idx="1">
                  <c:v>-20000</c:v>
                </c:pt>
                <c:pt idx="2">
                  <c:v>10000</c:v>
                </c:pt>
                <c:pt idx="3">
                  <c:v>1950</c:v>
                </c:pt>
                <c:pt idx="4">
                  <c:v>14000</c:v>
                </c:pt>
                <c:pt idx="5">
                  <c:v>-1600</c:v>
                </c:pt>
                <c:pt idx="6">
                  <c:v>4500</c:v>
                </c:pt>
                <c:pt idx="7">
                  <c:v>1200</c:v>
                </c:pt>
                <c:pt idx="8">
                  <c:v>100</c:v>
                </c:pt>
                <c:pt idx="9">
                  <c:v>0</c:v>
                </c:pt>
                <c:pt idx="10">
                  <c:v>0</c:v>
                </c:pt>
                <c:pt idx="11">
                  <c:v>-1000</c:v>
                </c:pt>
                <c:pt idx="12">
                  <c:v>3000</c:v>
                </c:pt>
                <c:pt idx="13">
                  <c:v>-500</c:v>
                </c:pt>
              </c:numCache>
            </c:numRef>
          </c:val>
          <c:extLst>
            <c:ext xmlns:c16="http://schemas.microsoft.com/office/drawing/2014/chart" uri="{C3380CC4-5D6E-409C-BE32-E72D297353CC}">
              <c16:uniqueId val="{00000002-EF45-9B43-9D0D-35872F08CB27}"/>
            </c:ext>
          </c:extLst>
        </c:ser>
        <c:dLbls>
          <c:showLegendKey val="0"/>
          <c:showVal val="0"/>
          <c:showCatName val="0"/>
          <c:showSerName val="0"/>
          <c:showPercent val="0"/>
          <c:showBubbleSize val="0"/>
        </c:dLbls>
        <c:gapWidth val="150"/>
        <c:overlap val="100"/>
        <c:axId val="-2139232392"/>
        <c:axId val="2125947336"/>
      </c:barChart>
      <c:catAx>
        <c:axId val="-2139232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25947336"/>
        <c:crossesAt val="0"/>
        <c:auto val="1"/>
        <c:lblAlgn val="ctr"/>
        <c:lblOffset val="100"/>
        <c:noMultiLvlLbl val="0"/>
      </c:catAx>
      <c:valAx>
        <c:axId val="21259473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39232392"/>
        <c:crosses val="autoZero"/>
        <c:crossBetween val="between"/>
        <c:majorUnit val="250000"/>
        <c:minorUnit val="50000"/>
      </c:valAx>
      <c:spPr>
        <a:noFill/>
        <a:ln cap="rnd">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'EXAMPLE Multi Project Dashboard'!$K$40</c:f>
              <c:strCache>
                <c:ptCount val="1"/>
                <c:pt idx="0">
                  <c:v>HIGH</c:v>
                </c:pt>
              </c:strCache>
            </c:strRef>
          </c:tx>
          <c:spPr>
            <a:solidFill>
              <a:srgbClr val="FF0000"/>
            </a:solidFill>
            <a:ln>
              <a:noFill/>
            </a:ln>
            <a:effectLst/>
          </c:spPr>
          <c:invertIfNegative val="0"/>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Dashboard'!$K$41:$K$54</c:f>
              <c:numCache>
                <c:formatCode>0</c:formatCode>
                <c:ptCount val="14"/>
                <c:pt idx="0">
                  <c:v>1</c:v>
                </c:pt>
                <c:pt idx="1">
                  <c:v>2</c:v>
                </c:pt>
                <c:pt idx="2">
                  <c:v>3</c:v>
                </c:pt>
                <c:pt idx="3">
                  <c:v>5</c:v>
                </c:pt>
                <c:pt idx="4">
                  <c:v>8</c:v>
                </c:pt>
                <c:pt idx="5">
                  <c:v>5</c:v>
                </c:pt>
                <c:pt idx="6">
                  <c:v>6</c:v>
                </c:pt>
                <c:pt idx="7">
                  <c:v>7</c:v>
                </c:pt>
                <c:pt idx="8">
                  <c:v>0</c:v>
                </c:pt>
                <c:pt idx="9">
                  <c:v>4</c:v>
                </c:pt>
                <c:pt idx="10">
                  <c:v>3</c:v>
                </c:pt>
                <c:pt idx="11">
                  <c:v>2</c:v>
                </c:pt>
                <c:pt idx="12">
                  <c:v>1</c:v>
                </c:pt>
                <c:pt idx="13">
                  <c:v>5</c:v>
                </c:pt>
              </c:numCache>
            </c:numRef>
          </c:val>
          <c:extLst>
            <c:ext xmlns:c16="http://schemas.microsoft.com/office/drawing/2014/chart" uri="{C3380CC4-5D6E-409C-BE32-E72D297353CC}">
              <c16:uniqueId val="{00000000-D444-A44E-9C91-EF8A598F833D}"/>
            </c:ext>
          </c:extLst>
        </c:ser>
        <c:ser>
          <c:idx val="1"/>
          <c:order val="1"/>
          <c:tx>
            <c:strRef>
              <c:f>'EXAMPLE Multi Project Dashboard'!$L$40</c:f>
              <c:strCache>
                <c:ptCount val="1"/>
                <c:pt idx="0">
                  <c:v>MEDIUM</c:v>
                </c:pt>
              </c:strCache>
            </c:strRef>
          </c:tx>
          <c:spPr>
            <a:solidFill>
              <a:srgbClr val="6A3AFF"/>
            </a:solidFill>
            <a:ln>
              <a:noFill/>
            </a:ln>
            <a:effectLst/>
          </c:spPr>
          <c:invertIfNegative val="0"/>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Dashboard'!$L$41:$L$54</c:f>
              <c:numCache>
                <c:formatCode>0</c:formatCode>
                <c:ptCount val="14"/>
                <c:pt idx="0">
                  <c:v>0</c:v>
                </c:pt>
                <c:pt idx="1">
                  <c:v>3</c:v>
                </c:pt>
                <c:pt idx="2">
                  <c:v>4</c:v>
                </c:pt>
                <c:pt idx="3">
                  <c:v>8</c:v>
                </c:pt>
                <c:pt idx="4">
                  <c:v>6</c:v>
                </c:pt>
                <c:pt idx="5">
                  <c:v>0</c:v>
                </c:pt>
                <c:pt idx="6">
                  <c:v>4</c:v>
                </c:pt>
                <c:pt idx="7">
                  <c:v>3</c:v>
                </c:pt>
                <c:pt idx="8">
                  <c:v>2</c:v>
                </c:pt>
                <c:pt idx="9">
                  <c:v>4</c:v>
                </c:pt>
                <c:pt idx="10">
                  <c:v>6</c:v>
                </c:pt>
                <c:pt idx="11">
                  <c:v>3</c:v>
                </c:pt>
                <c:pt idx="12">
                  <c:v>1</c:v>
                </c:pt>
                <c:pt idx="13">
                  <c:v>0</c:v>
                </c:pt>
              </c:numCache>
            </c:numRef>
          </c:val>
          <c:extLst>
            <c:ext xmlns:c16="http://schemas.microsoft.com/office/drawing/2014/chart" uri="{C3380CC4-5D6E-409C-BE32-E72D297353CC}">
              <c16:uniqueId val="{00000001-D444-A44E-9C91-EF8A598F833D}"/>
            </c:ext>
          </c:extLst>
        </c:ser>
        <c:ser>
          <c:idx val="2"/>
          <c:order val="2"/>
          <c:tx>
            <c:strRef>
              <c:f>'EXAMPLE Multi Project Dashboard'!$M$40</c:f>
              <c:strCache>
                <c:ptCount val="1"/>
                <c:pt idx="0">
                  <c:v>LOW</c:v>
                </c:pt>
              </c:strCache>
            </c:strRef>
          </c:tx>
          <c:spPr>
            <a:solidFill>
              <a:srgbClr val="00B050"/>
            </a:solidFill>
            <a:ln>
              <a:noFill/>
            </a:ln>
            <a:effectLst/>
          </c:spPr>
          <c:invertIfNegative val="0"/>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Dashboard'!$M$41:$M$54</c:f>
              <c:numCache>
                <c:formatCode>0</c:formatCode>
                <c:ptCount val="14"/>
                <c:pt idx="0">
                  <c:v>4</c:v>
                </c:pt>
                <c:pt idx="1">
                  <c:v>5</c:v>
                </c:pt>
                <c:pt idx="2">
                  <c:v>3</c:v>
                </c:pt>
                <c:pt idx="3">
                  <c:v>1</c:v>
                </c:pt>
                <c:pt idx="4">
                  <c:v>4</c:v>
                </c:pt>
                <c:pt idx="5">
                  <c:v>0</c:v>
                </c:pt>
                <c:pt idx="6">
                  <c:v>0</c:v>
                </c:pt>
                <c:pt idx="7">
                  <c:v>3</c:v>
                </c:pt>
                <c:pt idx="8">
                  <c:v>4</c:v>
                </c:pt>
                <c:pt idx="9">
                  <c:v>5</c:v>
                </c:pt>
                <c:pt idx="10">
                  <c:v>4</c:v>
                </c:pt>
                <c:pt idx="11">
                  <c:v>6</c:v>
                </c:pt>
                <c:pt idx="12">
                  <c:v>7</c:v>
                </c:pt>
                <c:pt idx="13">
                  <c:v>2</c:v>
                </c:pt>
              </c:numCache>
            </c:numRef>
          </c:val>
          <c:extLst>
            <c:ext xmlns:c16="http://schemas.microsoft.com/office/drawing/2014/chart" uri="{C3380CC4-5D6E-409C-BE32-E72D297353CC}">
              <c16:uniqueId val="{00000002-D444-A44E-9C91-EF8A598F833D}"/>
            </c:ext>
          </c:extLst>
        </c:ser>
        <c:dLbls>
          <c:showLegendKey val="0"/>
          <c:showVal val="0"/>
          <c:showCatName val="0"/>
          <c:showSerName val="0"/>
          <c:showPercent val="0"/>
          <c:showBubbleSize val="0"/>
        </c:dLbls>
        <c:gapWidth val="219"/>
        <c:axId val="2125951816"/>
        <c:axId val="2125891320"/>
      </c:barChart>
      <c:catAx>
        <c:axId val="2125951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25891320"/>
        <c:crosses val="autoZero"/>
        <c:auto val="1"/>
        <c:lblAlgn val="ctr"/>
        <c:lblOffset val="100"/>
        <c:noMultiLvlLbl val="0"/>
      </c:catAx>
      <c:valAx>
        <c:axId val="2125891320"/>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2595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r>
              <a:rPr lang="en-US"/>
              <a:t>RISK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endParaRPr lang="en-US"/>
        </a:p>
      </c:txPr>
    </c:title>
    <c:autoTitleDeleted val="0"/>
    <c:plotArea>
      <c:layout/>
      <c:barChart>
        <c:barDir val="bar"/>
        <c:grouping val="clustered"/>
        <c:varyColors val="0"/>
        <c:ser>
          <c:idx val="1"/>
          <c:order val="0"/>
          <c:spPr>
            <a:solidFill>
              <a:schemeClr val="accent2"/>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ED71-984C-8A70-30845BC65116}"/>
              </c:ext>
            </c:extLst>
          </c:dPt>
          <c:dPt>
            <c:idx val="1"/>
            <c:invertIfNegative val="0"/>
            <c:bubble3D val="0"/>
            <c:spPr>
              <a:solidFill>
                <a:srgbClr val="6A3AFF"/>
              </a:solidFill>
              <a:ln>
                <a:noFill/>
              </a:ln>
              <a:effectLst/>
            </c:spPr>
            <c:extLst>
              <c:ext xmlns:c16="http://schemas.microsoft.com/office/drawing/2014/chart" uri="{C3380CC4-5D6E-409C-BE32-E72D297353CC}">
                <c16:uniqueId val="{00000003-ED71-984C-8A70-30845BC65116}"/>
              </c:ext>
            </c:extLst>
          </c:dPt>
          <c:dPt>
            <c:idx val="2"/>
            <c:invertIfNegative val="0"/>
            <c:bubble3D val="0"/>
            <c:spPr>
              <a:solidFill>
                <a:srgbClr val="00B050"/>
              </a:solidFill>
              <a:ln>
                <a:noFill/>
              </a:ln>
              <a:effectLst/>
            </c:spPr>
            <c:extLst>
              <c:ext xmlns:c16="http://schemas.microsoft.com/office/drawing/2014/chart" uri="{C3380CC4-5D6E-409C-BE32-E72D297353CC}">
                <c16:uniqueId val="{00000005-ED71-984C-8A70-30845BC65116}"/>
              </c:ext>
            </c:extLst>
          </c:dPt>
          <c:cat>
            <c:strRef>
              <c:f>'EXAMPLE Multi Project Dashboard'!$K$40:$M$40</c:f>
              <c:strCache>
                <c:ptCount val="3"/>
                <c:pt idx="0">
                  <c:v>HIGH</c:v>
                </c:pt>
                <c:pt idx="1">
                  <c:v>MEDIUM</c:v>
                </c:pt>
                <c:pt idx="2">
                  <c:v>LOW</c:v>
                </c:pt>
              </c:strCache>
            </c:strRef>
          </c:cat>
          <c:val>
            <c:numRef>
              <c:f>'EXAMPLE Multi Project Dashboard'!$K$55:$M$55</c:f>
              <c:numCache>
                <c:formatCode>0</c:formatCode>
                <c:ptCount val="3"/>
                <c:pt idx="0">
                  <c:v>52</c:v>
                </c:pt>
                <c:pt idx="1">
                  <c:v>44</c:v>
                </c:pt>
                <c:pt idx="2">
                  <c:v>48</c:v>
                </c:pt>
              </c:numCache>
            </c:numRef>
          </c:val>
          <c:extLst>
            <c:ext xmlns:c16="http://schemas.microsoft.com/office/drawing/2014/chart" uri="{C3380CC4-5D6E-409C-BE32-E72D297353CC}">
              <c16:uniqueId val="{00000006-ED71-984C-8A70-30845BC65116}"/>
            </c:ext>
          </c:extLst>
        </c:ser>
        <c:ser>
          <c:idx val="0"/>
          <c:order val="1"/>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8-ED71-984C-8A70-30845BC65116}"/>
              </c:ext>
            </c:extLst>
          </c:dPt>
          <c:dPt>
            <c:idx val="1"/>
            <c:invertIfNegative val="0"/>
            <c:bubble3D val="0"/>
            <c:spPr>
              <a:solidFill>
                <a:srgbClr val="6A3AFF"/>
              </a:solidFill>
              <a:ln>
                <a:noFill/>
              </a:ln>
              <a:effectLst/>
            </c:spPr>
            <c:extLst>
              <c:ext xmlns:c16="http://schemas.microsoft.com/office/drawing/2014/chart" uri="{C3380CC4-5D6E-409C-BE32-E72D297353CC}">
                <c16:uniqueId val="{0000000A-ED71-984C-8A70-30845BC65116}"/>
              </c:ext>
            </c:extLst>
          </c:dPt>
          <c:dPt>
            <c:idx val="2"/>
            <c:invertIfNegative val="0"/>
            <c:bubble3D val="0"/>
            <c:spPr>
              <a:solidFill>
                <a:srgbClr val="00B050"/>
              </a:solidFill>
              <a:ln>
                <a:noFill/>
              </a:ln>
              <a:effectLst/>
            </c:spPr>
            <c:extLst>
              <c:ext xmlns:c16="http://schemas.microsoft.com/office/drawing/2014/chart" uri="{C3380CC4-5D6E-409C-BE32-E72D297353CC}">
                <c16:uniqueId val="{0000000C-ED71-984C-8A70-30845BC65116}"/>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entury Gothic" panose="020B0502020202020204" pitchFamily="34" charset="0"/>
                    <a:ea typeface="Arial" charset="0"/>
                    <a:cs typeface="Arial"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'EXAMPLE Multi Project Dashboard'!$K$40:$M$40</c:f>
              <c:strCache>
                <c:ptCount val="3"/>
                <c:pt idx="0">
                  <c:v>HIGH</c:v>
                </c:pt>
                <c:pt idx="1">
                  <c:v>MEDIUM</c:v>
                </c:pt>
                <c:pt idx="2">
                  <c:v>LOW</c:v>
                </c:pt>
              </c:strCache>
            </c:strRef>
          </c:cat>
          <c:val>
            <c:numRef>
              <c:f>'EXAMPLE Multi Project Dashboard'!$K$55:$M$55</c:f>
              <c:numCache>
                <c:formatCode>0</c:formatCode>
                <c:ptCount val="3"/>
                <c:pt idx="0">
                  <c:v>52</c:v>
                </c:pt>
                <c:pt idx="1">
                  <c:v>44</c:v>
                </c:pt>
                <c:pt idx="2">
                  <c:v>48</c:v>
                </c:pt>
              </c:numCache>
            </c:numRef>
          </c:val>
          <c:extLst>
            <c:ext xmlns:c16="http://schemas.microsoft.com/office/drawing/2014/chart" uri="{C3380CC4-5D6E-409C-BE32-E72D297353CC}">
              <c16:uniqueId val="{0000000D-ED71-984C-8A70-30845BC65116}"/>
            </c:ext>
          </c:extLst>
        </c:ser>
        <c:dLbls>
          <c:showLegendKey val="0"/>
          <c:showVal val="0"/>
          <c:showCatName val="0"/>
          <c:showSerName val="0"/>
          <c:showPercent val="0"/>
          <c:showBubbleSize val="0"/>
        </c:dLbls>
        <c:gapWidth val="50"/>
        <c:axId val="2125899112"/>
        <c:axId val="-2102169416"/>
      </c:barChart>
      <c:catAx>
        <c:axId val="2125899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02169416"/>
        <c:crosses val="autoZero"/>
        <c:auto val="1"/>
        <c:lblAlgn val="ctr"/>
        <c:lblOffset val="100"/>
        <c:noMultiLvlLbl val="0"/>
      </c:catAx>
      <c:valAx>
        <c:axId val="-2102169416"/>
        <c:scaling>
          <c:orientation val="minMax"/>
          <c:max val="100"/>
          <c:min val="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25899112"/>
        <c:crosses val="autoZero"/>
        <c:crossBetween val="between"/>
        <c:majorUnit val="5"/>
        <c:min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OPEN ISSUES</c:v>
          </c:tx>
          <c:spPr>
            <a:solidFill>
              <a:srgbClr val="0070C0"/>
            </a:solidFill>
            <a:ln>
              <a:noFill/>
            </a:ln>
            <a:effectLst/>
          </c:spPr>
          <c:invertIfNegative val="0"/>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Dashboard'!$N$41:$N$54</c:f>
              <c:numCache>
                <c:formatCode>0</c:formatCode>
                <c:ptCount val="14"/>
                <c:pt idx="0">
                  <c:v>2</c:v>
                </c:pt>
                <c:pt idx="1">
                  <c:v>1</c:v>
                </c:pt>
                <c:pt idx="2">
                  <c:v>2</c:v>
                </c:pt>
                <c:pt idx="3">
                  <c:v>1</c:v>
                </c:pt>
                <c:pt idx="4">
                  <c:v>0</c:v>
                </c:pt>
                <c:pt idx="5">
                  <c:v>2</c:v>
                </c:pt>
                <c:pt idx="6">
                  <c:v>1</c:v>
                </c:pt>
                <c:pt idx="7">
                  <c:v>0</c:v>
                </c:pt>
                <c:pt idx="8">
                  <c:v>1</c:v>
                </c:pt>
                <c:pt idx="9">
                  <c:v>2</c:v>
                </c:pt>
                <c:pt idx="10">
                  <c:v>3</c:v>
                </c:pt>
                <c:pt idx="11">
                  <c:v>0</c:v>
                </c:pt>
                <c:pt idx="12">
                  <c:v>1</c:v>
                </c:pt>
                <c:pt idx="13">
                  <c:v>2</c:v>
                </c:pt>
              </c:numCache>
            </c:numRef>
          </c:val>
          <c:extLst>
            <c:ext xmlns:c16="http://schemas.microsoft.com/office/drawing/2014/chart" uri="{C3380CC4-5D6E-409C-BE32-E72D297353CC}">
              <c16:uniqueId val="{00000000-C2EE-194A-9F2F-EA5752BFF23B}"/>
            </c:ext>
          </c:extLst>
        </c:ser>
        <c:ser>
          <c:idx val="1"/>
          <c:order val="1"/>
          <c:tx>
            <c:v>REVISIONS</c:v>
          </c:tx>
          <c:spPr>
            <a:solidFill>
              <a:schemeClr val="accent2"/>
            </a:solidFill>
            <a:ln>
              <a:noFill/>
            </a:ln>
            <a:effectLst/>
          </c:spPr>
          <c:invertIfNegative val="0"/>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Dashboard'!$O$41:$O$54</c:f>
              <c:numCache>
                <c:formatCode>0</c:formatCode>
                <c:ptCount val="14"/>
                <c:pt idx="0">
                  <c:v>0</c:v>
                </c:pt>
                <c:pt idx="1">
                  <c:v>2</c:v>
                </c:pt>
                <c:pt idx="2">
                  <c:v>1</c:v>
                </c:pt>
                <c:pt idx="3">
                  <c:v>0</c:v>
                </c:pt>
                <c:pt idx="4">
                  <c:v>3</c:v>
                </c:pt>
                <c:pt idx="5">
                  <c:v>0</c:v>
                </c:pt>
                <c:pt idx="6">
                  <c:v>2</c:v>
                </c:pt>
                <c:pt idx="7">
                  <c:v>1</c:v>
                </c:pt>
                <c:pt idx="8">
                  <c:v>3</c:v>
                </c:pt>
                <c:pt idx="9">
                  <c:v>0</c:v>
                </c:pt>
                <c:pt idx="10">
                  <c:v>2</c:v>
                </c:pt>
                <c:pt idx="11">
                  <c:v>1</c:v>
                </c:pt>
                <c:pt idx="12">
                  <c:v>0</c:v>
                </c:pt>
                <c:pt idx="13">
                  <c:v>1</c:v>
                </c:pt>
              </c:numCache>
            </c:numRef>
          </c:val>
          <c:extLst>
            <c:ext xmlns:c16="http://schemas.microsoft.com/office/drawing/2014/chart" uri="{C3380CC4-5D6E-409C-BE32-E72D297353CC}">
              <c16:uniqueId val="{00000001-C2EE-194A-9F2F-EA5752BFF23B}"/>
            </c:ext>
          </c:extLst>
        </c:ser>
        <c:ser>
          <c:idx val="2"/>
          <c:order val="2"/>
          <c:tx>
            <c:v>PENDING ACTIONS</c:v>
          </c:tx>
          <c:spPr>
            <a:solidFill>
              <a:srgbClr val="FFC11D"/>
            </a:solidFill>
            <a:ln>
              <a:noFill/>
            </a:ln>
            <a:effectLst/>
          </c:spPr>
          <c:invertIfNegative val="0"/>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Dashboard'!$P$41:$P$54</c:f>
              <c:numCache>
                <c:formatCode>0</c:formatCode>
                <c:ptCount val="14"/>
                <c:pt idx="0">
                  <c:v>4</c:v>
                </c:pt>
                <c:pt idx="1">
                  <c:v>3</c:v>
                </c:pt>
                <c:pt idx="2">
                  <c:v>2</c:v>
                </c:pt>
                <c:pt idx="3">
                  <c:v>0</c:v>
                </c:pt>
                <c:pt idx="4">
                  <c:v>1</c:v>
                </c:pt>
                <c:pt idx="5">
                  <c:v>2</c:v>
                </c:pt>
                <c:pt idx="6">
                  <c:v>3</c:v>
                </c:pt>
                <c:pt idx="7">
                  <c:v>4</c:v>
                </c:pt>
                <c:pt idx="8">
                  <c:v>2</c:v>
                </c:pt>
                <c:pt idx="9">
                  <c:v>0</c:v>
                </c:pt>
                <c:pt idx="10">
                  <c:v>0</c:v>
                </c:pt>
                <c:pt idx="11">
                  <c:v>1</c:v>
                </c:pt>
                <c:pt idx="12">
                  <c:v>2</c:v>
                </c:pt>
                <c:pt idx="13">
                  <c:v>3</c:v>
                </c:pt>
              </c:numCache>
            </c:numRef>
          </c:val>
          <c:extLst>
            <c:ext xmlns:c16="http://schemas.microsoft.com/office/drawing/2014/chart" uri="{C3380CC4-5D6E-409C-BE32-E72D297353CC}">
              <c16:uniqueId val="{00000002-C2EE-194A-9F2F-EA5752BFF23B}"/>
            </c:ext>
          </c:extLst>
        </c:ser>
        <c:dLbls>
          <c:showLegendKey val="0"/>
          <c:showVal val="0"/>
          <c:showCatName val="0"/>
          <c:showSerName val="0"/>
          <c:showPercent val="0"/>
          <c:showBubbleSize val="0"/>
        </c:dLbls>
        <c:gapWidth val="219"/>
        <c:axId val="-2101824104"/>
        <c:axId val="-2102104328"/>
      </c:barChart>
      <c:catAx>
        <c:axId val="-2101824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02104328"/>
        <c:crosses val="autoZero"/>
        <c:auto val="1"/>
        <c:lblAlgn val="ctr"/>
        <c:lblOffset val="100"/>
        <c:noMultiLvlLbl val="0"/>
      </c:catAx>
      <c:valAx>
        <c:axId val="-2102104328"/>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01824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r>
              <a:rPr lang="en-US"/>
              <a:t>ACTION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endParaRPr lang="en-US"/>
        </a:p>
      </c:txPr>
    </c:title>
    <c:autoTitleDeleted val="0"/>
    <c:plotArea>
      <c:layout>
        <c:manualLayout>
          <c:layoutTarget val="inner"/>
          <c:xMode val="edge"/>
          <c:yMode val="edge"/>
          <c:x val="0.13180188630694201"/>
          <c:y val="0.222382584529875"/>
          <c:w val="0.84044351906067205"/>
          <c:h val="0.64364705882352902"/>
        </c:manualLayout>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1-2E3F-B44B-976C-5C2DF288813B}"/>
              </c:ext>
            </c:extLst>
          </c:dPt>
          <c:dPt>
            <c:idx val="1"/>
            <c:invertIfNegative val="0"/>
            <c:bubble3D val="0"/>
            <c:spPr>
              <a:solidFill>
                <a:srgbClr val="ED7C00"/>
              </a:solidFill>
              <a:ln>
                <a:noFill/>
              </a:ln>
              <a:effectLst/>
            </c:spPr>
            <c:extLst>
              <c:ext xmlns:c16="http://schemas.microsoft.com/office/drawing/2014/chart" uri="{C3380CC4-5D6E-409C-BE32-E72D297353CC}">
                <c16:uniqueId val="{00000003-2E3F-B44B-976C-5C2DF288813B}"/>
              </c:ext>
            </c:extLst>
          </c:dPt>
          <c:dPt>
            <c:idx val="2"/>
            <c:invertIfNegative val="0"/>
            <c:bubble3D val="0"/>
            <c:spPr>
              <a:solidFill>
                <a:srgbClr val="FFC11D"/>
              </a:solidFill>
              <a:ln>
                <a:noFill/>
              </a:ln>
              <a:effectLst/>
            </c:spPr>
            <c:extLst>
              <c:ext xmlns:c16="http://schemas.microsoft.com/office/drawing/2014/chart" uri="{C3380CC4-5D6E-409C-BE32-E72D297353CC}">
                <c16:uniqueId val="{00000005-2E3F-B44B-976C-5C2DF288813B}"/>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entury Gothic" panose="020B0502020202020204" pitchFamily="34" charset="0"/>
                    <a:ea typeface="Arial" charset="0"/>
                    <a:cs typeface="Arial"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'EXAMPLE Multi Project Dashboard'!$N$39:$P$40</c:f>
              <c:multiLvlStrCache>
                <c:ptCount val="3"/>
                <c:lvl>
                  <c:pt idx="0">
                    <c:v>ISSUES</c:v>
                  </c:pt>
                  <c:pt idx="1">
                    <c:v>REVISIONS</c:v>
                  </c:pt>
                </c:lvl>
                <c:lvl>
                  <c:pt idx="0">
                    <c:v>OPEN</c:v>
                  </c:pt>
                  <c:pt idx="2">
                    <c:v>PENDING ACTIONS</c:v>
                  </c:pt>
                </c:lvl>
              </c:multiLvlStrCache>
            </c:multiLvlStrRef>
          </c:cat>
          <c:val>
            <c:numRef>
              <c:f>'EXAMPLE Multi Project Dashboard'!$N$55:$P$55</c:f>
              <c:numCache>
                <c:formatCode>0</c:formatCode>
                <c:ptCount val="3"/>
                <c:pt idx="0">
                  <c:v>18</c:v>
                </c:pt>
                <c:pt idx="1">
                  <c:v>16</c:v>
                </c:pt>
                <c:pt idx="2">
                  <c:v>27</c:v>
                </c:pt>
              </c:numCache>
            </c:numRef>
          </c:val>
          <c:extLst>
            <c:ext xmlns:c16="http://schemas.microsoft.com/office/drawing/2014/chart" uri="{C3380CC4-5D6E-409C-BE32-E72D297353CC}">
              <c16:uniqueId val="{00000006-2E3F-B44B-976C-5C2DF288813B}"/>
            </c:ext>
          </c:extLst>
        </c:ser>
        <c:dLbls>
          <c:showLegendKey val="0"/>
          <c:showVal val="0"/>
          <c:showCatName val="0"/>
          <c:showSerName val="0"/>
          <c:showPercent val="0"/>
          <c:showBubbleSize val="0"/>
        </c:dLbls>
        <c:gapWidth val="50"/>
        <c:axId val="2116180808"/>
        <c:axId val="2139877704"/>
      </c:barChart>
      <c:catAx>
        <c:axId val="2116180808"/>
        <c:scaling>
          <c:orientation val="minMax"/>
        </c:scaling>
        <c:delete val="1"/>
        <c:axPos val="l"/>
        <c:numFmt formatCode="General" sourceLinked="1"/>
        <c:majorTickMark val="none"/>
        <c:minorTickMark val="none"/>
        <c:tickLblPos val="nextTo"/>
        <c:crossAx val="2139877704"/>
        <c:crosses val="autoZero"/>
        <c:auto val="1"/>
        <c:lblAlgn val="ctr"/>
        <c:lblOffset val="100"/>
        <c:noMultiLvlLbl val="0"/>
      </c:catAx>
      <c:valAx>
        <c:axId val="2139877704"/>
        <c:scaling>
          <c:orientation val="minMax"/>
          <c:max val="50"/>
          <c:min val="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cross"/>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16180808"/>
        <c:crosses val="autoZero"/>
        <c:crossBetween val="between"/>
        <c:majorUnit val="5"/>
        <c:minorUnit val="1"/>
      </c:valAx>
      <c:spPr>
        <a:noFill/>
        <a:ln>
          <a:noFill/>
        </a:ln>
        <a:effectLst/>
      </c:spPr>
    </c:plotArea>
    <c:plotVisOnly val="1"/>
    <c:dispBlanksAs val="gap"/>
    <c:showDLblsOverMax val="0"/>
  </c:chart>
  <c:spPr>
    <a:solidFill>
      <a:schemeClr val="bg1"/>
    </a:solidFill>
    <a:ln w="9525" cap="flat" cmpd="sng" algn="ctr">
      <a:noFill/>
      <a:round/>
    </a:ln>
    <a:effectLst/>
  </c:spPr>
  <c:txPr>
    <a:bodyPr rot="0" vert="horz"/>
    <a:lstStyle/>
    <a:p>
      <a:pPr>
        <a:defRPr>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667024983651785"/>
          <c:y val="2.6954177897574125E-2"/>
          <c:w val="0.81805305480159685"/>
          <c:h val="0.94070080862533689"/>
        </c:manualLayout>
      </c:layout>
      <c:barChart>
        <c:barDir val="bar"/>
        <c:grouping val="stacked"/>
        <c:varyColors val="0"/>
        <c:ser>
          <c:idx val="0"/>
          <c:order val="0"/>
          <c:tx>
            <c:strRef>
              <c:f>'Ticket Issue Client Dashboard'!$D$19</c:f>
              <c:strCache>
                <c:ptCount val="1"/>
                <c:pt idx="0">
                  <c:v>BEGIN</c:v>
                </c:pt>
              </c:strCache>
            </c:strRef>
          </c:tx>
          <c:spPr>
            <a:solidFill>
              <a:schemeClr val="accent1"/>
            </a:solidFill>
            <a:ln>
              <a:noFill/>
            </a:ln>
            <a:effectLst/>
          </c:spPr>
          <c:invertIfNegative val="0"/>
          <c:dLbls>
            <c:dLbl>
              <c:idx val="0"/>
              <c:layout>
                <c:manualLayout>
                  <c:x val="7.6119516630387032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2634-414D-843C-5E4B2E78CEB2}"/>
                </c:ext>
              </c:extLst>
            </c:dLbl>
            <c:dLbl>
              <c:idx val="1"/>
              <c:layout>
                <c:manualLayout>
                  <c:x val="7.7373483897950651E-2"/>
                  <c:y val="-9.883084392209590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2634-414D-843C-5E4B2E78CEB2}"/>
                </c:ext>
              </c:extLst>
            </c:dLbl>
            <c:dLbl>
              <c:idx val="2"/>
              <c:layout>
                <c:manualLayout>
                  <c:x val="7.0431185939155982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2634-414D-843C-5E4B2E78CEB2}"/>
                </c:ext>
              </c:extLst>
            </c:dLbl>
            <c:dLbl>
              <c:idx val="3"/>
              <c:layout>
                <c:manualLayout>
                  <c:x val="6.7838522217243152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2634-414D-843C-5E4B2E78CEB2}"/>
                </c:ext>
              </c:extLst>
            </c:dLbl>
            <c:dLbl>
              <c:idx val="4"/>
              <c:layout>
                <c:manualLayout>
                  <c:x val="7.5282308657465491E-2"/>
                  <c:y val="4.9415421961047951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2634-414D-843C-5E4B2E78CEB2}"/>
                </c:ext>
              </c:extLst>
            </c:dLbl>
            <c:dLbl>
              <c:idx val="5"/>
              <c:layout>
                <c:manualLayout>
                  <c:x val="6.7893006548242901E-2"/>
                  <c:y val="-4.9415421961047951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2634-414D-843C-5E4B2E78CEB2}"/>
                </c:ext>
              </c:extLst>
            </c:dLbl>
            <c:dLbl>
              <c:idx val="6"/>
              <c:layout>
                <c:manualLayout>
                  <c:x val="6.8540664498848866E-2"/>
                  <c:y val="-2.69541778975746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2634-414D-843C-5E4B2E78CEB2}"/>
                </c:ext>
              </c:extLst>
            </c:dLbl>
            <c:dLbl>
              <c:idx val="7"/>
              <c:layout>
                <c:manualLayout>
                  <c:x val="6.5540954138411878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2634-414D-843C-5E4B2E78CEB2}"/>
                </c:ext>
              </c:extLst>
            </c:dLbl>
            <c:dLbl>
              <c:idx val="8"/>
              <c:layout>
                <c:manualLayout>
                  <c:x val="7.2051573758058401E-2"/>
                  <c:y val="-2.4707710980523976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A4B-4804-A21B-C33C0E56C6C9}"/>
                </c:ext>
              </c:extLst>
            </c:dLbl>
            <c:dLbl>
              <c:idx val="9"/>
              <c:layout>
                <c:manualLayout>
                  <c:x val="6.8259385665529013E-2"/>
                  <c:y val="-1.2353855490261988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A4B-4804-A21B-C33C0E56C6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'Ticket Issue Client Dashboard'!$B$20:$B$33</c15:sqref>
                  </c15:fullRef>
                </c:ext>
              </c:extLst>
              <c:f>'Ticket Issue Client Dashboard'!$B$20:$B$29</c:f>
              <c:strCache>
                <c:ptCount val="10"/>
                <c:pt idx="0">
                  <c:v>FRIM</c:v>
                </c:pt>
                <c:pt idx="1">
                  <c:v>MTIB</c:v>
                </c:pt>
                <c:pt idx="2">
                  <c:v>MPOB</c:v>
                </c:pt>
                <c:pt idx="3">
                  <c:v>LKTN</c:v>
                </c:pt>
                <c:pt idx="4">
                  <c:v>LAM</c:v>
                </c:pt>
                <c:pt idx="5">
                  <c:v>ISN</c:v>
                </c:pt>
                <c:pt idx="6">
                  <c:v>MSN</c:v>
                </c:pt>
                <c:pt idx="8">
                  <c:v>KHTP (KTPC)</c:v>
                </c:pt>
                <c:pt idx="9">
                  <c:v>KUIPS (Warranty)</c:v>
                </c:pt>
              </c:strCache>
            </c:strRef>
          </c:cat>
          <c:val>
            <c:numRef>
              <c:extLst>
                <c:ext xmlns:c15="http://schemas.microsoft.com/office/drawing/2012/chart" uri="{02D57815-91ED-43cb-92C2-25804820EDAC}">
                  <c15:fullRef>
                    <c15:sqref>'Ticket Issue Client Dashboard'!$D$20:$D$33</c15:sqref>
                  </c15:fullRef>
                </c:ext>
              </c:extLst>
              <c:f>'Ticket Issue Client Dashboard'!$D$20:$D$29</c:f>
              <c:numCache>
                <c:formatCode>[$-14409]d/m/yyyy;@</c:formatCode>
                <c:ptCount val="10"/>
                <c:pt idx="0">
                  <c:v>46023</c:v>
                </c:pt>
                <c:pt idx="1">
                  <c:v>45962</c:v>
                </c:pt>
                <c:pt idx="2">
                  <c:v>46023</c:v>
                </c:pt>
                <c:pt idx="3">
                  <c:v>46023</c:v>
                </c:pt>
                <c:pt idx="4">
                  <c:v>45931</c:v>
                </c:pt>
                <c:pt idx="5">
                  <c:v>46023</c:v>
                </c:pt>
                <c:pt idx="6">
                  <c:v>45809</c:v>
                </c:pt>
                <c:pt idx="7">
                  <c:v>46023</c:v>
                </c:pt>
                <c:pt idx="8">
                  <c:v>45927</c:v>
                </c:pt>
                <c:pt idx="9">
                  <c:v>46023</c:v>
                </c:pt>
              </c:numCache>
            </c:numRef>
          </c:val>
          <c:extLst>
            <c:ext xmlns:c16="http://schemas.microsoft.com/office/drawing/2014/chart" uri="{C3380CC4-5D6E-409C-BE32-E72D297353CC}">
              <c16:uniqueId val="{00000000-0773-FE40-84DE-2AD66D9BC2C9}"/>
            </c:ext>
          </c:extLst>
        </c:ser>
        <c:ser>
          <c:idx val="2"/>
          <c:order val="1"/>
          <c:tx>
            <c:strRef>
              <c:f>'Ticket Issue Client Dashboard'!$E$19</c:f>
              <c:strCache>
                <c:ptCount val="1"/>
                <c:pt idx="0">
                  <c:v>FINISH</c:v>
                </c:pt>
              </c:strCache>
            </c:strRef>
          </c:tx>
          <c:spPr>
            <a:solidFill>
              <a:schemeClr val="accent5"/>
            </a:solidFill>
            <a:ln>
              <a:noFill/>
            </a:ln>
            <a:effectLst/>
          </c:spPr>
          <c:invertIfNegative val="0"/>
          <c:dLbls>
            <c:dLbl>
              <c:idx val="0"/>
              <c:layout>
                <c:manualLayout>
                  <c:x val="0.3002632136853200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2634-414D-843C-5E4B2E78CEB2}"/>
                </c:ext>
              </c:extLst>
            </c:dLbl>
            <c:dLbl>
              <c:idx val="1"/>
              <c:layout>
                <c:manualLayout>
                  <c:x val="0.30321813442261697"/>
                  <c:y val="9.883084392209590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2634-414D-843C-5E4B2E78CEB2}"/>
                </c:ext>
              </c:extLst>
            </c:dLbl>
            <c:dLbl>
              <c:idx val="2"/>
              <c:layout>
                <c:manualLayout>
                  <c:x val="0.30045834714346714"/>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2634-414D-843C-5E4B2E78CEB2}"/>
                </c:ext>
              </c:extLst>
            </c:dLbl>
            <c:dLbl>
              <c:idx val="3"/>
              <c:layout>
                <c:manualLayout>
                  <c:x val="0.2979770020215050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2634-414D-843C-5E4B2E78CEB2}"/>
                </c:ext>
              </c:extLst>
            </c:dLbl>
            <c:dLbl>
              <c:idx val="4"/>
              <c:layout>
                <c:manualLayout>
                  <c:x val="0.29608090797524028"/>
                  <c:y val="-9.883084392209590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2634-414D-843C-5E4B2E78CEB2}"/>
                </c:ext>
              </c:extLst>
            </c:dLbl>
            <c:dLbl>
              <c:idx val="5"/>
              <c:layout>
                <c:manualLayout>
                  <c:x val="0.29309776977536511"/>
                  <c:y val="2.695417789757363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2634-414D-843C-5E4B2E78CEB2}"/>
                </c:ext>
              </c:extLst>
            </c:dLbl>
            <c:dLbl>
              <c:idx val="6"/>
              <c:layout>
                <c:manualLayout>
                  <c:x val="0.2972549932964864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2634-414D-843C-5E4B2E78CEB2}"/>
                </c:ext>
              </c:extLst>
            </c:dLbl>
            <c:dLbl>
              <c:idx val="7"/>
              <c:layout>
                <c:manualLayout>
                  <c:x val="0.2869320302538973"/>
                  <c:y val="2.695417789757412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2634-414D-843C-5E4B2E78CEB2}"/>
                </c:ext>
              </c:extLst>
            </c:dLbl>
            <c:dLbl>
              <c:idx val="8"/>
              <c:layout>
                <c:manualLayout>
                  <c:x val="0.28873048292171655"/>
                  <c:y val="-2.4707710980523976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A4B-4804-A21B-C33C0E56C6C9}"/>
                </c:ext>
              </c:extLst>
            </c:dLbl>
            <c:dLbl>
              <c:idx val="9"/>
              <c:layout>
                <c:manualLayout>
                  <c:x val="0.28457594677798365"/>
                  <c:y val="-1.2353855490261988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A4B-4804-A21B-C33C0E56C6C9}"/>
                </c:ext>
              </c:extLst>
            </c:dLbl>
            <c:numFmt formatCode="m/d/yyyy"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'Ticket Issue Client Dashboard'!$B$20:$B$33</c15:sqref>
                  </c15:fullRef>
                </c:ext>
              </c:extLst>
              <c:f>'Ticket Issue Client Dashboard'!$B$20:$B$29</c:f>
              <c:strCache>
                <c:ptCount val="10"/>
                <c:pt idx="0">
                  <c:v>FRIM</c:v>
                </c:pt>
                <c:pt idx="1">
                  <c:v>MTIB</c:v>
                </c:pt>
                <c:pt idx="2">
                  <c:v>MPOB</c:v>
                </c:pt>
                <c:pt idx="3">
                  <c:v>LKTN</c:v>
                </c:pt>
                <c:pt idx="4">
                  <c:v>LAM</c:v>
                </c:pt>
                <c:pt idx="5">
                  <c:v>ISN</c:v>
                </c:pt>
                <c:pt idx="6">
                  <c:v>MSN</c:v>
                </c:pt>
                <c:pt idx="8">
                  <c:v>KHTP (KTPC)</c:v>
                </c:pt>
                <c:pt idx="9">
                  <c:v>KUIPS (Warranty)</c:v>
                </c:pt>
              </c:strCache>
            </c:strRef>
          </c:cat>
          <c:val>
            <c:numRef>
              <c:extLst>
                <c:ext xmlns:c15="http://schemas.microsoft.com/office/drawing/2012/chart" uri="{02D57815-91ED-43cb-92C2-25804820EDAC}">
                  <c15:fullRef>
                    <c15:sqref>'Ticket Issue Client Dashboard'!$E$20:$E$33</c15:sqref>
                  </c15:fullRef>
                </c:ext>
              </c:extLst>
              <c:f>'Ticket Issue Client Dashboard'!$E$20:$E$29</c:f>
              <c:numCache>
                <c:formatCode>[$-14409]dd/mm/yyyy;@</c:formatCode>
                <c:ptCount val="10"/>
                <c:pt idx="0">
                  <c:v>46387</c:v>
                </c:pt>
                <c:pt idx="1">
                  <c:v>46326</c:v>
                </c:pt>
                <c:pt idx="2">
                  <c:v>46387</c:v>
                </c:pt>
                <c:pt idx="3">
                  <c:v>46387</c:v>
                </c:pt>
                <c:pt idx="4">
                  <c:v>46295</c:v>
                </c:pt>
                <c:pt idx="5">
                  <c:v>46387</c:v>
                </c:pt>
                <c:pt idx="6">
                  <c:v>46173</c:v>
                </c:pt>
                <c:pt idx="7">
                  <c:v>46387</c:v>
                </c:pt>
                <c:pt idx="8">
                  <c:v>46291</c:v>
                </c:pt>
                <c:pt idx="9">
                  <c:v>46752</c:v>
                </c:pt>
              </c:numCache>
            </c:numRef>
          </c:val>
          <c:extLst>
            <c:ext xmlns:c16="http://schemas.microsoft.com/office/drawing/2014/chart" uri="{C3380CC4-5D6E-409C-BE32-E72D297353CC}">
              <c16:uniqueId val="{0000001C-2634-414D-843C-5E4B2E78CEB2}"/>
            </c:ext>
          </c:extLst>
        </c:ser>
        <c:dLbls>
          <c:dLblPos val="ctr"/>
          <c:showLegendKey val="0"/>
          <c:showVal val="1"/>
          <c:showCatName val="0"/>
          <c:showSerName val="0"/>
          <c:showPercent val="0"/>
          <c:showBubbleSize val="0"/>
        </c:dLbls>
        <c:gapWidth val="79"/>
        <c:overlap val="100"/>
        <c:axId val="2120620376"/>
        <c:axId val="-2105395848"/>
        <c:extLst>
          <c:ext xmlns:c15="http://schemas.microsoft.com/office/drawing/2012/chart" uri="{02D57815-91ED-43cb-92C2-25804820EDAC}">
            <c15:filteredBarSeries>
              <c15:ser>
                <c:idx val="1"/>
                <c:order val="2"/>
                <c:tx>
                  <c:v>Duration</c:v>
                </c:tx>
                <c:spPr>
                  <a:solidFill>
                    <a:schemeClr val="accent3"/>
                  </a:solidFill>
                  <a:ln>
                    <a:noFill/>
                  </a:ln>
                  <a:effectLst/>
                </c:spPr>
                <c:invertIfNegative val="0"/>
                <c:dPt>
                  <c:idx val="1"/>
                  <c:invertIfNegative val="0"/>
                  <c:bubble3D val="0"/>
                  <c:extLst>
                    <c:ext xmlns:c16="http://schemas.microsoft.com/office/drawing/2014/chart" uri="{C3380CC4-5D6E-409C-BE32-E72D297353CC}">
                      <c16:uniqueId val="{00000002-0773-FE40-84DE-2AD66D9BC2C9}"/>
                    </c:ext>
                  </c:extLst>
                </c:dPt>
                <c:dPt>
                  <c:idx val="2"/>
                  <c:invertIfNegative val="0"/>
                  <c:bubble3D val="0"/>
                  <c:extLst>
                    <c:ext xmlns:c16="http://schemas.microsoft.com/office/drawing/2014/chart" uri="{C3380CC4-5D6E-409C-BE32-E72D297353CC}">
                      <c16:uniqueId val="{00000004-0773-FE40-84DE-2AD66D9BC2C9}"/>
                    </c:ext>
                  </c:extLst>
                </c:dPt>
                <c:dPt>
                  <c:idx val="3"/>
                  <c:invertIfNegative val="0"/>
                  <c:bubble3D val="0"/>
                  <c:extLst>
                    <c:ext xmlns:c16="http://schemas.microsoft.com/office/drawing/2014/chart" uri="{C3380CC4-5D6E-409C-BE32-E72D297353CC}">
                      <c16:uniqueId val="{00000006-0773-FE40-84DE-2AD66D9BC2C9}"/>
                    </c:ext>
                  </c:extLst>
                </c:dPt>
                <c:dPt>
                  <c:idx val="4"/>
                  <c:invertIfNegative val="0"/>
                  <c:bubble3D val="0"/>
                  <c:extLst>
                    <c:ext xmlns:c16="http://schemas.microsoft.com/office/drawing/2014/chart" uri="{C3380CC4-5D6E-409C-BE32-E72D297353CC}">
                      <c16:uniqueId val="{00000008-0773-FE40-84DE-2AD66D9BC2C9}"/>
                    </c:ext>
                  </c:extLst>
                </c:dPt>
                <c:dPt>
                  <c:idx val="5"/>
                  <c:invertIfNegative val="0"/>
                  <c:bubble3D val="0"/>
                  <c:extLst>
                    <c:ext xmlns:c16="http://schemas.microsoft.com/office/drawing/2014/chart" uri="{C3380CC4-5D6E-409C-BE32-E72D297353CC}">
                      <c16:uniqueId val="{0000000A-0773-FE40-84DE-2AD66D9BC2C9}"/>
                    </c:ext>
                  </c:extLst>
                </c:dPt>
                <c:dPt>
                  <c:idx val="6"/>
                  <c:invertIfNegative val="0"/>
                  <c:bubble3D val="0"/>
                  <c:extLst>
                    <c:ext xmlns:c16="http://schemas.microsoft.com/office/drawing/2014/chart" uri="{C3380CC4-5D6E-409C-BE32-E72D297353CC}">
                      <c16:uniqueId val="{0000000C-0773-FE40-84DE-2AD66D9BC2C9}"/>
                    </c:ext>
                  </c:extLst>
                </c:dPt>
                <c:dPt>
                  <c:idx val="7"/>
                  <c:invertIfNegative val="0"/>
                  <c:bubble3D val="0"/>
                  <c:extLst>
                    <c:ext xmlns:c16="http://schemas.microsoft.com/office/drawing/2014/chart" uri="{C3380CC4-5D6E-409C-BE32-E72D297353CC}">
                      <c16:uniqueId val="{0000000E-0773-FE40-84DE-2AD66D9BC2C9}"/>
                    </c:ext>
                  </c:extLst>
                </c:dPt>
                <c:dPt>
                  <c:idx val="8"/>
                  <c:invertIfNegative val="0"/>
                  <c:bubble3D val="0"/>
                  <c:extLst>
                    <c:ext xmlns:c16="http://schemas.microsoft.com/office/drawing/2014/chart" uri="{C3380CC4-5D6E-409C-BE32-E72D297353CC}">
                      <c16:uniqueId val="{00000007-7A4B-4804-A21B-C33C0E56C6C9}"/>
                    </c:ext>
                  </c:extLst>
                </c:dPt>
                <c:dPt>
                  <c:idx val="9"/>
                  <c:invertIfNegative val="0"/>
                  <c:bubble3D val="0"/>
                  <c:extLst>
                    <c:ext xmlns:c16="http://schemas.microsoft.com/office/drawing/2014/chart" uri="{C3380CC4-5D6E-409C-BE32-E72D297353CC}">
                      <c16:uniqueId val="{00000008-7A4B-4804-A21B-C33C0E56C6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a:solidFill>
                              <a:schemeClr val="tx1">
                                <a:lumMod val="35000"/>
                                <a:lumOff val="65000"/>
                              </a:schemeClr>
                            </a:solidFill>
                          </a:ln>
                          <a:effectLst/>
                        </c:spPr>
                      </c15:leaderLines>
                    </c:ext>
                  </c:extLst>
                </c:dLbls>
                <c:cat>
                  <c:strRef>
                    <c:extLst>
                      <c:ext uri="{02D57815-91ED-43cb-92C2-25804820EDAC}">
                        <c15:fullRef>
                          <c15:sqref>'Ticket Issue Client Dashboard'!$B$20:$B$33</c15:sqref>
                        </c15:fullRef>
                        <c15:formulaRef>
                          <c15:sqref>'Ticket Issue Client Dashboard'!$B$20:$B$29</c15:sqref>
                        </c15:formulaRef>
                      </c:ext>
                    </c:extLst>
                    <c:strCache>
                      <c:ptCount val="10"/>
                      <c:pt idx="0">
                        <c:v>FRIM</c:v>
                      </c:pt>
                      <c:pt idx="1">
                        <c:v>MTIB</c:v>
                      </c:pt>
                      <c:pt idx="2">
                        <c:v>MPOB</c:v>
                      </c:pt>
                      <c:pt idx="3">
                        <c:v>LKTN</c:v>
                      </c:pt>
                      <c:pt idx="4">
                        <c:v>LAM</c:v>
                      </c:pt>
                      <c:pt idx="5">
                        <c:v>ISN</c:v>
                      </c:pt>
                      <c:pt idx="6">
                        <c:v>MSN</c:v>
                      </c:pt>
                      <c:pt idx="8">
                        <c:v>KHTP (KTPC)</c:v>
                      </c:pt>
                      <c:pt idx="9">
                        <c:v>KUIPS (Warranty)</c:v>
                      </c:pt>
                    </c:strCache>
                  </c:strRef>
                </c:cat>
                <c:val>
                  <c:numRef>
                    <c:extLst>
                      <c:ext uri="{02D57815-91ED-43cb-92C2-25804820EDAC}">
                        <c15:fullRef>
                          <c15:sqref>'Ticket Issue Client Dashboard'!$F$20:$F$33</c15:sqref>
                        </c15:fullRef>
                        <c15:formulaRef>
                          <c15:sqref>'Ticket Issue Client Dashboard'!$F$20:$F$29</c15:sqref>
                        </c15:formulaRef>
                      </c:ext>
                    </c:extLst>
                    <c:numCache>
                      <c:formatCode>General</c:formatCode>
                      <c:ptCount val="10"/>
                      <c:pt idx="0">
                        <c:v>365</c:v>
                      </c:pt>
                      <c:pt idx="1">
                        <c:v>365</c:v>
                      </c:pt>
                      <c:pt idx="2">
                        <c:v>365</c:v>
                      </c:pt>
                      <c:pt idx="3">
                        <c:v>365</c:v>
                      </c:pt>
                      <c:pt idx="4">
                        <c:v>365</c:v>
                      </c:pt>
                      <c:pt idx="5">
                        <c:v>365</c:v>
                      </c:pt>
                      <c:pt idx="6">
                        <c:v>365</c:v>
                      </c:pt>
                      <c:pt idx="7">
                        <c:v>365</c:v>
                      </c:pt>
                      <c:pt idx="8">
                        <c:v>365</c:v>
                      </c:pt>
                      <c:pt idx="9">
                        <c:v>730</c:v>
                      </c:pt>
                    </c:numCache>
                  </c:numRef>
                </c:val>
                <c:extLst>
                  <c:ext uri="{02D57815-91ED-43cb-92C2-25804820EDAC}">
                    <c15:categoryFilterExceptions>
                      <c15:categoryFilterException>
                        <c15:sqref>'Ticket Issue Client Dashboard'!$F$30</c15:sqref>
                        <c15:invertIfNegative val="0"/>
                        <c15:bubble3D val="0"/>
                      </c15:categoryFilterException>
                      <c15:categoryFilterException>
                        <c15:sqref>'Ticket Issue Client Dashboard'!$F$31</c15:sqref>
                        <c15:invertIfNegative val="0"/>
                        <c15:bubble3D val="0"/>
                      </c15:categoryFilterException>
                      <c15:categoryFilterException>
                        <c15:sqref>'Ticket Issue Client Dashboard'!$F$32</c15:sqref>
                        <c15:invertIfNegative val="0"/>
                        <c15:bubble3D val="0"/>
                      </c15:categoryFilterException>
                      <c15:categoryFilterException>
                        <c15:sqref>'Ticket Issue Client Dashboard'!$F$33</c15:sqref>
                        <c15:invertIfNegative val="0"/>
                        <c15:bubble3D val="0"/>
                      </c15:categoryFilterException>
                    </c15:categoryFilterExceptions>
                  </c:ext>
                  <c:ext xmlns:c16="http://schemas.microsoft.com/office/drawing/2014/chart" uri="{C3380CC4-5D6E-409C-BE32-E72D297353CC}">
                    <c16:uniqueId val="{0000001B-0773-FE40-84DE-2AD66D9BC2C9}"/>
                  </c:ext>
                </c:extLst>
              </c15:ser>
            </c15:filteredBarSeries>
          </c:ext>
        </c:extLst>
      </c:barChart>
      <c:catAx>
        <c:axId val="2120620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05395848"/>
        <c:crosses val="autoZero"/>
        <c:auto val="1"/>
        <c:lblAlgn val="ctr"/>
        <c:lblOffset val="100"/>
        <c:noMultiLvlLbl val="0"/>
      </c:catAx>
      <c:valAx>
        <c:axId val="-2105395848"/>
        <c:scaling>
          <c:orientation val="minMax"/>
          <c:min val="45770"/>
        </c:scaling>
        <c:delete val="1"/>
        <c:axPos val="b"/>
        <c:numFmt formatCode="dd/mm/yy;@" sourceLinked="0"/>
        <c:majorTickMark val="none"/>
        <c:minorTickMark val="none"/>
        <c:tickLblPos val="nextTo"/>
        <c:crossAx val="2120620376"/>
        <c:crosses val="autoZero"/>
        <c:crossBetween val="between"/>
        <c:majorUnit val="30"/>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Total Tickets by Clients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'Ticket Issue Client Dashboard'!$F$19</c:f>
              <c:strCache>
                <c:ptCount val="1"/>
                <c:pt idx="0">
                  <c:v># of DAYS</c:v>
                </c:pt>
              </c:strCache>
            </c:strRef>
          </c:tx>
          <c:spPr>
            <a:solidFill>
              <a:srgbClr val="6A3AFF"/>
            </a:solidFill>
            <a:ln>
              <a:noFill/>
            </a:ln>
            <a:effectLst/>
          </c:spPr>
          <c:invertIfNegative val="0"/>
          <c:dPt>
            <c:idx val="0"/>
            <c:invertIfNegative val="0"/>
            <c:bubble3D val="0"/>
            <c:extLst>
              <c:ext xmlns:c16="http://schemas.microsoft.com/office/drawing/2014/chart" uri="{C3380CC4-5D6E-409C-BE32-E72D297353CC}">
                <c16:uniqueId val="{00000001-3277-134E-BA65-65523338154F}"/>
              </c:ext>
            </c:extLst>
          </c:dPt>
          <c:dPt>
            <c:idx val="1"/>
            <c:invertIfNegative val="0"/>
            <c:bubble3D val="0"/>
            <c:spPr>
              <a:solidFill>
                <a:srgbClr val="E3DAFF"/>
              </a:solidFill>
              <a:ln>
                <a:noFill/>
              </a:ln>
              <a:effectLst/>
            </c:spPr>
            <c:extLst>
              <c:ext xmlns:c16="http://schemas.microsoft.com/office/drawing/2014/chart" uri="{C3380CC4-5D6E-409C-BE32-E72D297353CC}">
                <c16:uniqueId val="{00000003-3277-134E-BA65-65523338154F}"/>
              </c:ext>
            </c:extLst>
          </c:dPt>
          <c:dPt>
            <c:idx val="2"/>
            <c:invertIfNegative val="0"/>
            <c:bubble3D val="0"/>
            <c:spPr>
              <a:solidFill>
                <a:srgbClr val="00B050"/>
              </a:solidFill>
              <a:ln>
                <a:noFill/>
              </a:ln>
              <a:effectLst/>
            </c:spPr>
            <c:extLst>
              <c:ext xmlns:c16="http://schemas.microsoft.com/office/drawing/2014/chart" uri="{C3380CC4-5D6E-409C-BE32-E72D297353CC}">
                <c16:uniqueId val="{00000005-3277-134E-BA65-65523338154F}"/>
              </c:ext>
            </c:extLst>
          </c:dPt>
          <c:dPt>
            <c:idx val="3"/>
            <c:invertIfNegative val="0"/>
            <c:bubble3D val="0"/>
            <c:spPr>
              <a:solidFill>
                <a:srgbClr val="FFC11D"/>
              </a:solidFill>
              <a:ln>
                <a:noFill/>
              </a:ln>
              <a:effectLst/>
            </c:spPr>
            <c:extLst>
              <c:ext xmlns:c16="http://schemas.microsoft.com/office/drawing/2014/chart" uri="{C3380CC4-5D6E-409C-BE32-E72D297353CC}">
                <c16:uniqueId val="{00000007-3277-134E-BA65-65523338154F}"/>
              </c:ext>
            </c:extLst>
          </c:dPt>
          <c:dPt>
            <c:idx val="4"/>
            <c:invertIfNegative val="0"/>
            <c:bubble3D val="0"/>
            <c:spPr>
              <a:solidFill>
                <a:srgbClr val="FF0000"/>
              </a:solidFill>
              <a:ln>
                <a:noFill/>
              </a:ln>
              <a:effectLst/>
            </c:spPr>
            <c:extLst>
              <c:ext xmlns:c16="http://schemas.microsoft.com/office/drawing/2014/chart" uri="{C3380CC4-5D6E-409C-BE32-E72D297353CC}">
                <c16:uniqueId val="{00000009-3277-134E-BA65-65523338154F}"/>
              </c:ext>
            </c:extLst>
          </c:dPt>
          <c:dPt>
            <c:idx val="5"/>
            <c:invertIfNegative val="0"/>
            <c:bubble3D val="0"/>
            <c:spPr>
              <a:solidFill>
                <a:srgbClr val="92D050"/>
              </a:solidFill>
              <a:ln>
                <a:noFill/>
              </a:ln>
              <a:effectLst/>
            </c:spPr>
            <c:extLst>
              <c:ext xmlns:c16="http://schemas.microsoft.com/office/drawing/2014/chart" uri="{C3380CC4-5D6E-409C-BE32-E72D297353CC}">
                <c16:uniqueId val="{0000000B-3277-134E-BA65-65523338154F}"/>
              </c:ext>
            </c:extLst>
          </c:dPt>
          <c:dPt>
            <c:idx val="6"/>
            <c:invertIfNegative val="0"/>
            <c:bubble3D val="0"/>
            <c:spPr>
              <a:solidFill>
                <a:srgbClr val="EE57AD"/>
              </a:solidFill>
              <a:ln>
                <a:noFill/>
              </a:ln>
              <a:effectLst/>
            </c:spPr>
            <c:extLst>
              <c:ext xmlns:c16="http://schemas.microsoft.com/office/drawing/2014/chart" uri="{C3380CC4-5D6E-409C-BE32-E72D297353CC}">
                <c16:uniqueId val="{0000000D-3277-134E-BA65-65523338154F}"/>
              </c:ext>
            </c:extLst>
          </c:dPt>
          <c:dPt>
            <c:idx val="7"/>
            <c:invertIfNegative val="0"/>
            <c:bubble3D val="0"/>
            <c:spPr>
              <a:solidFill>
                <a:schemeClr val="accent6">
                  <a:lumMod val="75000"/>
                </a:schemeClr>
              </a:solidFill>
              <a:ln>
                <a:noFill/>
              </a:ln>
              <a:effectLst/>
            </c:spPr>
            <c:extLst>
              <c:ext xmlns:c16="http://schemas.microsoft.com/office/drawing/2014/chart" uri="{C3380CC4-5D6E-409C-BE32-E72D297353CC}">
                <c16:uniqueId val="{0000000B-0455-42C3-8881-B3DD582BB61F}"/>
              </c:ext>
            </c:extLst>
          </c:dPt>
          <c:dPt>
            <c:idx val="8"/>
            <c:invertIfNegative val="0"/>
            <c:bubble3D val="0"/>
            <c:spPr>
              <a:solidFill>
                <a:srgbClr val="00B0F0"/>
              </a:solidFill>
              <a:ln>
                <a:noFill/>
              </a:ln>
              <a:effectLst/>
            </c:spPr>
            <c:extLst>
              <c:ext xmlns:c16="http://schemas.microsoft.com/office/drawing/2014/chart" uri="{C3380CC4-5D6E-409C-BE32-E72D297353CC}">
                <c16:uniqueId val="{0000000C-0455-42C3-8881-B3DD582BB61F}"/>
              </c:ext>
            </c:extLst>
          </c:dPt>
          <c:dLbls>
            <c:dLbl>
              <c:idx val="0"/>
              <c:spPr>
                <a:noFill/>
                <a:ln>
                  <a:noFill/>
                </a:ln>
                <a:effectLst/>
              </c:spPr>
              <c:txPr>
                <a:bodyPr rot="-5400000" spcFirstLastPara="1" vertOverflow="clip" horzOverflow="clip" vert="horz" wrap="square" lIns="38100" tIns="19050" rIns="38100" bIns="19050" anchor="ctr" anchorCtr="1">
                  <a:noAutofit/>
                </a:bodyPr>
                <a:lstStyle/>
                <a:p>
                  <a:pPr>
                    <a:defRPr sz="16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7.8689541353731865E-2"/>
                      <c:h val="0.10010683760683758"/>
                    </c:manualLayout>
                  </c15:layout>
                </c:ext>
                <c:ext xmlns:c16="http://schemas.microsoft.com/office/drawing/2014/chart" uri="{C3380CC4-5D6E-409C-BE32-E72D297353CC}">
                  <c16:uniqueId val="{00000001-3277-134E-BA65-65523338154F}"/>
                </c:ext>
              </c:extLst>
            </c:dLbl>
            <c:spPr>
              <a:noFill/>
              <a:ln>
                <a:noFill/>
              </a:ln>
              <a:effectLst/>
            </c:spPr>
            <c:txPr>
              <a:bodyPr rot="-5400000" spcFirstLastPara="1" vertOverflow="clip" horzOverflow="clip" vert="horz" wrap="square" lIns="38100" tIns="19050" rIns="38100" bIns="19050" anchor="ctr" anchorCtr="1">
                <a:spAutoFit/>
              </a:bodyPr>
              <a:lstStyle/>
              <a:p>
                <a:pPr>
                  <a:defRPr sz="16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'Ticket Issue Client Dashboard'!$B$20:$B$33</c15:sqref>
                  </c15:fullRef>
                </c:ext>
              </c:extLst>
              <c:f>('Ticket Issue Client Dashboard'!$B$20:$B$26,'Ticket Issue Client Dashboard'!$B$28:$B$29)</c:f>
              <c:strCache>
                <c:ptCount val="9"/>
                <c:pt idx="0">
                  <c:v>FRIM</c:v>
                </c:pt>
                <c:pt idx="1">
                  <c:v>MTIB</c:v>
                </c:pt>
                <c:pt idx="2">
                  <c:v>MPOB</c:v>
                </c:pt>
                <c:pt idx="3">
                  <c:v>LKTN</c:v>
                </c:pt>
                <c:pt idx="4">
                  <c:v>LAM</c:v>
                </c:pt>
                <c:pt idx="5">
                  <c:v>ISN</c:v>
                </c:pt>
                <c:pt idx="6">
                  <c:v>MSN</c:v>
                </c:pt>
                <c:pt idx="7">
                  <c:v>KHTP (KTPC)</c:v>
                </c:pt>
                <c:pt idx="8">
                  <c:v>KUIPS (Warranty)</c:v>
                </c:pt>
              </c:strCache>
            </c:strRef>
          </c:cat>
          <c:val>
            <c:numRef>
              <c:extLst>
                <c:ext xmlns:c15="http://schemas.microsoft.com/office/drawing/2012/chart" uri="{02D57815-91ED-43cb-92C2-25804820EDAC}">
                  <c15:fullRef>
                    <c15:sqref>'Ticket Issue Client Dashboard'!$G$20:$G$33</c15:sqref>
                  </c15:fullRef>
                </c:ext>
              </c:extLst>
              <c:f>('Ticket Issue Client Dashboard'!$G$20:$G$26,'Ticket Issue Client Dashboard'!$G$28:$G$29)</c:f>
              <c:numCache>
                <c:formatCode>General</c:formatCode>
                <c:ptCount val="9"/>
                <c:pt idx="0">
                  <c:v>0</c:v>
                </c:pt>
                <c:pt idx="1">
                  <c:v>0</c:v>
                </c:pt>
                <c:pt idx="2">
                  <c:v>0</c:v>
                </c:pt>
                <c:pt idx="3">
                  <c:v>0</c:v>
                </c:pt>
                <c:pt idx="4">
                  <c:v>0</c:v>
                </c:pt>
                <c:pt idx="5">
                  <c:v>0</c:v>
                </c:pt>
                <c:pt idx="6">
                  <c:v>0</c:v>
                </c:pt>
                <c:pt idx="7">
                  <c:v>0</c:v>
                </c:pt>
                <c:pt idx="8">
                  <c:v>0</c:v>
                </c:pt>
              </c:numCache>
            </c:numRef>
          </c:val>
          <c:extLst>
            <c:ext xmlns:c15="http://schemas.microsoft.com/office/drawing/2012/chart" uri="{02D57815-91ED-43cb-92C2-25804820EDAC}">
              <c15:categoryFilterExceptions>
                <c15:categoryFilterException>
                  <c15:sqref>'Ticket Issue Client Dashboard'!$G$27</c15:sqref>
                  <c15:invertIfNegative val="0"/>
                  <c15:bubble3D val="0"/>
                </c15:categoryFilterException>
              </c15:categoryFilterExceptions>
            </c:ext>
            <c:ext xmlns:c16="http://schemas.microsoft.com/office/drawing/2014/chart" uri="{C3380CC4-5D6E-409C-BE32-E72D297353CC}">
              <c16:uniqueId val="{0000001C-3277-134E-BA65-65523338154F}"/>
            </c:ext>
          </c:extLst>
        </c:ser>
        <c:dLbls>
          <c:dLblPos val="outEnd"/>
          <c:showLegendKey val="0"/>
          <c:showVal val="1"/>
          <c:showCatName val="0"/>
          <c:showSerName val="0"/>
          <c:showPercent val="0"/>
          <c:showBubbleSize val="0"/>
        </c:dLbls>
        <c:gapWidth val="444"/>
        <c:overlap val="-90"/>
        <c:axId val="-2139417400"/>
        <c:axId val="-2139589144"/>
      </c:barChart>
      <c:catAx>
        <c:axId val="-2139417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39589144"/>
        <c:crosses val="autoZero"/>
        <c:auto val="1"/>
        <c:lblAlgn val="ctr"/>
        <c:lblOffset val="100"/>
        <c:noMultiLvlLbl val="0"/>
      </c:catAx>
      <c:valAx>
        <c:axId val="-2139589144"/>
        <c:scaling>
          <c:orientation val="minMax"/>
        </c:scaling>
        <c:delete val="1"/>
        <c:axPos val="l"/>
        <c:numFmt formatCode="General" sourceLinked="1"/>
        <c:majorTickMark val="none"/>
        <c:minorTickMark val="none"/>
        <c:tickLblPos val="nextTo"/>
        <c:crossAx val="-2139417400"/>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r>
              <a:rPr lang="en-US"/>
              <a:t>ISSUE BY CLIENT</a:t>
            </a:r>
          </a:p>
        </c:rich>
      </c:tx>
      <c:layout>
        <c:manualLayout>
          <c:xMode val="edge"/>
          <c:yMode val="edge"/>
          <c:x val="0.32234434508681975"/>
          <c:y val="2.4213393515393644E-2"/>
        </c:manualLayout>
      </c:layout>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endParaRPr lang="en-US"/>
        </a:p>
      </c:txPr>
    </c:title>
    <c:autoTitleDeleted val="0"/>
    <c:plotArea>
      <c:layout>
        <c:manualLayout>
          <c:layoutTarget val="inner"/>
          <c:xMode val="edge"/>
          <c:yMode val="edge"/>
          <c:x val="5.68528802320762E-2"/>
          <c:y val="0.15806815096388799"/>
          <c:w val="0.63616272965879295"/>
          <c:h val="0.78149300841705105"/>
        </c:manualLayout>
      </c:layout>
      <c:pieChart>
        <c:varyColors val="1"/>
        <c:ser>
          <c:idx val="0"/>
          <c:order val="0"/>
          <c:spPr>
            <a:ln>
              <a:noFill/>
            </a:ln>
          </c:spPr>
          <c:dPt>
            <c:idx val="0"/>
            <c:bubble3D val="0"/>
            <c:spPr>
              <a:solidFill>
                <a:schemeClr val="accent5"/>
              </a:solidFill>
              <a:ln w="19050">
                <a:noFill/>
              </a:ln>
              <a:effectLst/>
            </c:spPr>
            <c:extLst>
              <c:ext xmlns:c16="http://schemas.microsoft.com/office/drawing/2014/chart" uri="{C3380CC4-5D6E-409C-BE32-E72D297353CC}">
                <c16:uniqueId val="{00000001-5095-CA48-A5D1-0F0CA592F6B9}"/>
              </c:ext>
            </c:extLst>
          </c:dPt>
          <c:dPt>
            <c:idx val="1"/>
            <c:bubble3D val="0"/>
            <c:spPr>
              <a:solidFill>
                <a:srgbClr val="E3DAFF"/>
              </a:solidFill>
              <a:ln w="19050">
                <a:noFill/>
              </a:ln>
              <a:effectLst/>
            </c:spPr>
            <c:extLst>
              <c:ext xmlns:c16="http://schemas.microsoft.com/office/drawing/2014/chart" uri="{C3380CC4-5D6E-409C-BE32-E72D297353CC}">
                <c16:uniqueId val="{00000003-5095-CA48-A5D1-0F0CA592F6B9}"/>
              </c:ext>
            </c:extLst>
          </c:dPt>
          <c:dPt>
            <c:idx val="2"/>
            <c:bubble3D val="0"/>
            <c:spPr>
              <a:solidFill>
                <a:srgbClr val="00B050"/>
              </a:solidFill>
              <a:ln w="19050">
                <a:noFill/>
              </a:ln>
              <a:effectLst/>
            </c:spPr>
            <c:extLst>
              <c:ext xmlns:c16="http://schemas.microsoft.com/office/drawing/2014/chart" uri="{C3380CC4-5D6E-409C-BE32-E72D297353CC}">
                <c16:uniqueId val="{00000005-5095-CA48-A5D1-0F0CA592F6B9}"/>
              </c:ext>
            </c:extLst>
          </c:dPt>
          <c:dPt>
            <c:idx val="3"/>
            <c:bubble3D val="0"/>
            <c:spPr>
              <a:solidFill>
                <a:schemeClr val="accent4"/>
              </a:solidFill>
              <a:ln w="19050">
                <a:noFill/>
              </a:ln>
              <a:effectLst/>
            </c:spPr>
            <c:extLst>
              <c:ext xmlns:c16="http://schemas.microsoft.com/office/drawing/2014/chart" uri="{C3380CC4-5D6E-409C-BE32-E72D297353CC}">
                <c16:uniqueId val="{00000007-5095-CA48-A5D1-0F0CA592F6B9}"/>
              </c:ext>
            </c:extLst>
          </c:dPt>
          <c:dPt>
            <c:idx val="4"/>
            <c:bubble3D val="0"/>
            <c:spPr>
              <a:solidFill>
                <a:srgbClr val="FF0000"/>
              </a:solidFill>
              <a:ln w="19050">
                <a:noFill/>
              </a:ln>
              <a:effectLst/>
            </c:spPr>
            <c:extLst>
              <c:ext xmlns:c16="http://schemas.microsoft.com/office/drawing/2014/chart" uri="{C3380CC4-5D6E-409C-BE32-E72D297353CC}">
                <c16:uniqueId val="{00000009-5095-CA48-A5D1-0F0CA592F6B9}"/>
              </c:ext>
            </c:extLst>
          </c:dPt>
          <c:dPt>
            <c:idx val="5"/>
            <c:bubble3D val="0"/>
            <c:spPr>
              <a:solidFill>
                <a:srgbClr val="92D050"/>
              </a:solidFill>
              <a:ln w="19050">
                <a:noFill/>
              </a:ln>
              <a:effectLst/>
            </c:spPr>
            <c:extLst>
              <c:ext xmlns:c16="http://schemas.microsoft.com/office/drawing/2014/chart" uri="{C3380CC4-5D6E-409C-BE32-E72D297353CC}">
                <c16:uniqueId val="{0000000B-5095-CA48-A5D1-0F0CA592F6B9}"/>
              </c:ext>
            </c:extLst>
          </c:dPt>
          <c:dPt>
            <c:idx val="6"/>
            <c:bubble3D val="0"/>
            <c:spPr>
              <a:solidFill>
                <a:srgbClr val="EE57AD"/>
              </a:solidFill>
              <a:ln w="19050">
                <a:noFill/>
              </a:ln>
              <a:effectLst/>
            </c:spPr>
            <c:extLst>
              <c:ext xmlns:c16="http://schemas.microsoft.com/office/drawing/2014/chart" uri="{C3380CC4-5D6E-409C-BE32-E72D297353CC}">
                <c16:uniqueId val="{0000000D-5095-CA48-A5D1-0F0CA592F6B9}"/>
              </c:ext>
            </c:extLst>
          </c:dPt>
          <c:dPt>
            <c:idx val="7"/>
            <c:bubble3D val="0"/>
            <c:spPr>
              <a:solidFill>
                <a:schemeClr val="accent6">
                  <a:lumMod val="75000"/>
                </a:schemeClr>
              </a:solidFill>
              <a:ln w="19050">
                <a:noFill/>
              </a:ln>
              <a:effectLst/>
            </c:spPr>
            <c:extLst>
              <c:ext xmlns:c16="http://schemas.microsoft.com/office/drawing/2014/chart" uri="{C3380CC4-5D6E-409C-BE32-E72D297353CC}">
                <c16:uniqueId val="{00000011-7A7B-4DBB-B242-7ACD24EC55A1}"/>
              </c:ext>
            </c:extLst>
          </c:dPt>
          <c:dPt>
            <c:idx val="8"/>
            <c:bubble3D val="0"/>
            <c:spPr>
              <a:solidFill>
                <a:srgbClr val="00B0F0"/>
              </a:solidFill>
              <a:ln w="19050">
                <a:noFill/>
              </a:ln>
              <a:effectLst/>
            </c:spPr>
            <c:extLst>
              <c:ext xmlns:c16="http://schemas.microsoft.com/office/drawing/2014/chart" uri="{C3380CC4-5D6E-409C-BE32-E72D297353CC}">
                <c16:uniqueId val="{00000013-7A7B-4DBB-B242-7ACD24EC55A1}"/>
              </c:ext>
            </c:extLst>
          </c:dPt>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Century Gothic" panose="020B0502020202020204" pitchFamily="34" charset="0"/>
                    <a:ea typeface="Arial" charset="0"/>
                    <a:cs typeface="Arial" charset="0"/>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'Ticket Issue Client Dashboard'!$B$20:$B$33</c15:sqref>
                  </c15:fullRef>
                </c:ext>
              </c:extLst>
              <c:f>('Ticket Issue Client Dashboard'!$B$20:$B$26,'Ticket Issue Client Dashboard'!$B$28:$B$29)</c:f>
              <c:strCache>
                <c:ptCount val="9"/>
                <c:pt idx="0">
                  <c:v>FRIM</c:v>
                </c:pt>
                <c:pt idx="1">
                  <c:v>MTIB</c:v>
                </c:pt>
                <c:pt idx="2">
                  <c:v>MPOB</c:v>
                </c:pt>
                <c:pt idx="3">
                  <c:v>LKTN</c:v>
                </c:pt>
                <c:pt idx="4">
                  <c:v>LAM</c:v>
                </c:pt>
                <c:pt idx="5">
                  <c:v>ISN</c:v>
                </c:pt>
                <c:pt idx="6">
                  <c:v>MSN</c:v>
                </c:pt>
                <c:pt idx="7">
                  <c:v>KHTP (KTPC)</c:v>
                </c:pt>
                <c:pt idx="8">
                  <c:v>KUIPS (Warranty)</c:v>
                </c:pt>
              </c:strCache>
            </c:strRef>
          </c:cat>
          <c:val>
            <c:numRef>
              <c:extLst>
                <c:ext xmlns:c15="http://schemas.microsoft.com/office/drawing/2012/chart" uri="{02D57815-91ED-43cb-92C2-25804820EDAC}">
                  <c15:fullRef>
                    <c15:sqref>'Ticket Issue Client Dashboard'!$G$20:$G$33</c15:sqref>
                  </c15:fullRef>
                </c:ext>
              </c:extLst>
              <c:f>('Ticket Issue Client Dashboard'!$G$20:$G$26,'Ticket Issue Client Dashboard'!$G$28:$G$29)</c:f>
              <c:numCache>
                <c:formatCode>General</c:formatCode>
                <c:ptCount val="9"/>
                <c:pt idx="0">
                  <c:v>0</c:v>
                </c:pt>
                <c:pt idx="1">
                  <c:v>0</c:v>
                </c:pt>
                <c:pt idx="2">
                  <c:v>0</c:v>
                </c:pt>
                <c:pt idx="3">
                  <c:v>0</c:v>
                </c:pt>
                <c:pt idx="4">
                  <c:v>0</c:v>
                </c:pt>
                <c:pt idx="5">
                  <c:v>0</c:v>
                </c:pt>
                <c:pt idx="6">
                  <c:v>0</c:v>
                </c:pt>
                <c:pt idx="7">
                  <c:v>0</c:v>
                </c:pt>
                <c:pt idx="8">
                  <c:v>0</c:v>
                </c:pt>
              </c:numCache>
            </c:numRef>
          </c:val>
          <c:extLst>
            <c:ext xmlns:c15="http://schemas.microsoft.com/office/drawing/2012/chart" uri="{02D57815-91ED-43cb-92C2-25804820EDAC}">
              <c15:categoryFilterExceptions>
                <c15:categoryFilterException>
                  <c15:sqref>'Ticket Issue Client Dashboard'!$G$27</c15:sqref>
                  <c15:spPr xmlns:c15="http://schemas.microsoft.com/office/drawing/2012/chart">
                    <a:solidFill>
                      <a:schemeClr val="accent2">
                        <a:lumMod val="60000"/>
                      </a:schemeClr>
                    </a:solidFill>
                    <a:ln w="19050">
                      <a:noFill/>
                    </a:ln>
                    <a:effectLst/>
                  </c15:spPr>
                  <c15:bubble3D val="0"/>
                </c15:categoryFilterException>
                <c15:categoryFilterException>
                  <c15:sqref>'Ticket Issue Client Dashboard'!$G$30</c15:sqref>
                  <c15:spPr xmlns:c15="http://schemas.microsoft.com/office/drawing/2012/chart">
                    <a:solidFill>
                      <a:srgbClr val="C00000"/>
                    </a:solidFill>
                    <a:ln w="19050">
                      <a:noFill/>
                    </a:ln>
                    <a:effectLst/>
                  </c15:spPr>
                  <c15:bubble3D val="0"/>
                </c15:categoryFilterException>
                <c15:categoryFilterException>
                  <c15:sqref>'Ticket Issue Client Dashboard'!$G$31</c15:sqref>
                  <c15:spPr xmlns:c15="http://schemas.microsoft.com/office/drawing/2012/chart">
                    <a:solidFill>
                      <a:schemeClr val="accent2">
                        <a:lumMod val="75000"/>
                      </a:schemeClr>
                    </a:solidFill>
                    <a:ln w="19050">
                      <a:noFill/>
                    </a:ln>
                    <a:effectLst/>
                  </c15:spPr>
                  <c15:bubble3D val="0"/>
                </c15:categoryFilterException>
                <c15:categoryFilterException>
                  <c15:sqref>'Ticket Issue Client Dashboard'!$G$32</c15:sqref>
                  <c15:spPr xmlns:c15="http://schemas.microsoft.com/office/drawing/2012/chart">
                    <a:solidFill>
                      <a:schemeClr val="accent1">
                        <a:lumMod val="60000"/>
                        <a:lumOff val="40000"/>
                      </a:schemeClr>
                    </a:solidFill>
                    <a:ln w="19050">
                      <a:noFill/>
                    </a:ln>
                    <a:effectLst/>
                  </c15:spPr>
                  <c15:bubble3D val="0"/>
                </c15:categoryFilterException>
                <c15:categoryFilterException>
                  <c15:sqref>'Ticket Issue Client Dashboard'!$G$33</c15:sqref>
                  <c15:spPr xmlns:c15="http://schemas.microsoft.com/office/drawing/2012/chart">
                    <a:solidFill>
                      <a:srgbClr val="FFC000"/>
                    </a:solidFill>
                    <a:ln w="19050">
                      <a:noFill/>
                    </a:ln>
                    <a:effectLst/>
                  </c15:spPr>
                  <c15:bubble3D val="0"/>
                </c15:categoryFilterException>
              </c15:categoryFilterExceptions>
            </c:ext>
            <c:ext xmlns:c16="http://schemas.microsoft.com/office/drawing/2014/chart" uri="{C3380CC4-5D6E-409C-BE32-E72D297353CC}">
              <c16:uniqueId val="{0000001C-5095-CA48-A5D1-0F0CA592F6B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7161377821083399"/>
          <c:y val="1.9434564213956E-2"/>
          <c:w val="0.201630368946357"/>
          <c:h val="0.9805654357860440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legend>
    <c:plotVisOnly val="1"/>
    <c:dispBlanksAs val="zero"/>
    <c:showDLblsOverMax val="0"/>
  </c:chart>
  <c:spPr>
    <a:solidFill>
      <a:schemeClr val="bg1"/>
    </a:solidFill>
    <a:ln w="9525" cap="flat" cmpd="sng" algn="ctr">
      <a:noFill/>
      <a:round/>
    </a:ln>
    <a:effectLst/>
  </c:spPr>
  <c:txPr>
    <a:bodyPr/>
    <a:lstStyle/>
    <a:p>
      <a:pPr>
        <a:defRPr sz="1100">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'Ticket Issue Client Dashboard'!$H$19</c:f>
              <c:strCache>
                <c:ptCount val="1"/>
                <c:pt idx="0">
                  <c:v>1-30 DAYS</c:v>
                </c:pt>
              </c:strCache>
            </c:strRef>
          </c:tx>
          <c:spPr>
            <a:solidFill>
              <a:srgbClr val="FFC11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entury Gothic" panose="020B0502020202020204" pitchFamily="34" charset="0"/>
                    <a:ea typeface="Arial" charset="0"/>
                    <a:cs typeface="Arial"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'Ticket Issue Client Dashboard'!$B$20:$B$33</c15:sqref>
                  </c15:fullRef>
                </c:ext>
              </c:extLst>
              <c:f>('Ticket Issue Client Dashboard'!$B$20:$B$26,'Ticket Issue Client Dashboard'!$B$28:$B$29)</c:f>
              <c:strCache>
                <c:ptCount val="9"/>
                <c:pt idx="0">
                  <c:v>FRIM</c:v>
                </c:pt>
                <c:pt idx="1">
                  <c:v>MTIB</c:v>
                </c:pt>
                <c:pt idx="2">
                  <c:v>MPOB</c:v>
                </c:pt>
                <c:pt idx="3">
                  <c:v>LKTN</c:v>
                </c:pt>
                <c:pt idx="4">
                  <c:v>LAM</c:v>
                </c:pt>
                <c:pt idx="5">
                  <c:v>ISN</c:v>
                </c:pt>
                <c:pt idx="6">
                  <c:v>MSN</c:v>
                </c:pt>
                <c:pt idx="7">
                  <c:v>KHTP (KTPC)</c:v>
                </c:pt>
                <c:pt idx="8">
                  <c:v>KUIPS (Warranty)</c:v>
                </c:pt>
              </c:strCache>
            </c:strRef>
          </c:cat>
          <c:val>
            <c:numRef>
              <c:extLst>
                <c:ext xmlns:c15="http://schemas.microsoft.com/office/drawing/2012/chart" uri="{02D57815-91ED-43cb-92C2-25804820EDAC}">
                  <c15:fullRef>
                    <c15:sqref>'Ticket Issue Client Dashboard'!$H$20:$H$33</c15:sqref>
                  </c15:fullRef>
                </c:ext>
              </c:extLst>
              <c:f>('Ticket Issue Client Dashboard'!$H$20:$H$26,'Ticket Issue Client Dashboard'!$H$28:$H$29)</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7008-5045-8661-AA5DFAEDAA29}"/>
            </c:ext>
          </c:extLst>
        </c:ser>
        <c:ser>
          <c:idx val="1"/>
          <c:order val="1"/>
          <c:tx>
            <c:strRef>
              <c:f>'Ticket Issue Client Dashboard'!$I$19</c:f>
              <c:strCache>
                <c:ptCount val="1"/>
                <c:pt idx="0">
                  <c:v>31-60 DAYS</c:v>
                </c:pt>
              </c:strCache>
            </c:strRef>
          </c:tx>
          <c:spPr>
            <a:solidFill>
              <a:srgbClr val="6A3A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entury Gothic" panose="020B0502020202020204" pitchFamily="34" charset="0"/>
                    <a:ea typeface="Arial" charset="0"/>
                    <a:cs typeface="Arial"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'Ticket Issue Client Dashboard'!$B$20:$B$33</c15:sqref>
                  </c15:fullRef>
                </c:ext>
              </c:extLst>
              <c:f>('Ticket Issue Client Dashboard'!$B$20:$B$26,'Ticket Issue Client Dashboard'!$B$28:$B$29)</c:f>
              <c:strCache>
                <c:ptCount val="9"/>
                <c:pt idx="0">
                  <c:v>FRIM</c:v>
                </c:pt>
                <c:pt idx="1">
                  <c:v>MTIB</c:v>
                </c:pt>
                <c:pt idx="2">
                  <c:v>MPOB</c:v>
                </c:pt>
                <c:pt idx="3">
                  <c:v>LKTN</c:v>
                </c:pt>
                <c:pt idx="4">
                  <c:v>LAM</c:v>
                </c:pt>
                <c:pt idx="5">
                  <c:v>ISN</c:v>
                </c:pt>
                <c:pt idx="6">
                  <c:v>MSN</c:v>
                </c:pt>
                <c:pt idx="7">
                  <c:v>KHTP (KTPC)</c:v>
                </c:pt>
                <c:pt idx="8">
                  <c:v>KUIPS (Warranty)</c:v>
                </c:pt>
              </c:strCache>
            </c:strRef>
          </c:cat>
          <c:val>
            <c:numRef>
              <c:extLst>
                <c:ext xmlns:c15="http://schemas.microsoft.com/office/drawing/2012/chart" uri="{02D57815-91ED-43cb-92C2-25804820EDAC}">
                  <c15:fullRef>
                    <c15:sqref>'Ticket Issue Client Dashboard'!$I$20:$I$33</c15:sqref>
                  </c15:fullRef>
                </c:ext>
              </c:extLst>
              <c:f>('Ticket Issue Client Dashboard'!$I$20:$I$26,'Ticket Issue Client Dashboard'!$I$28:$I$29)</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7008-5045-8661-AA5DFAEDAA29}"/>
            </c:ext>
          </c:extLst>
        </c:ser>
        <c:ser>
          <c:idx val="2"/>
          <c:order val="2"/>
          <c:tx>
            <c:strRef>
              <c:f>'Ticket Issue Client Dashboard'!$J$19</c:f>
              <c:strCache>
                <c:ptCount val="1"/>
                <c:pt idx="0">
                  <c:v>&gt; 60 DAYS</c:v>
                </c:pt>
              </c:strCache>
            </c:strRef>
          </c:tx>
          <c:spPr>
            <a:solidFill>
              <a:srgbClr val="FF0000"/>
            </a:solidFill>
            <a:ln>
              <a:noFill/>
            </a:ln>
            <a:effectLst/>
          </c:spPr>
          <c:invertIfNegative val="0"/>
          <c:dLbls>
            <c:dLbl>
              <c:idx val="0"/>
              <c:tx>
                <c:rich>
                  <a:bodyPr/>
                  <a:lstStyle/>
                  <a:p>
                    <a:endParaRPr lang="en-US" baseline="0"/>
                  </a:p>
                  <a:p>
                    <a:fld id="{80E2941B-D57D-4B01-85BB-ACC36A8B785B}" type="VALUE">
                      <a:rPr lang="en-US" baseline="0"/>
                      <a:pPr/>
                      <a:t>[VALUE]</a:t>
                    </a:fld>
                    <a:endParaRPr lang="en-GB"/>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4554-4B23-B5ED-30A38758F7C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entury Gothic" panose="020B0502020202020204" pitchFamily="34" charset="0"/>
                    <a:ea typeface="Arial" charset="0"/>
                    <a:cs typeface="Arial"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extLst>
                <c:ext xmlns:c15="http://schemas.microsoft.com/office/drawing/2012/chart" uri="{02D57815-91ED-43cb-92C2-25804820EDAC}">
                  <c15:fullRef>
                    <c15:sqref>'Ticket Issue Client Dashboard'!$B$20:$B$33</c15:sqref>
                  </c15:fullRef>
                </c:ext>
              </c:extLst>
              <c:f>('Ticket Issue Client Dashboard'!$B$20:$B$26,'Ticket Issue Client Dashboard'!$B$28:$B$29)</c:f>
              <c:strCache>
                <c:ptCount val="9"/>
                <c:pt idx="0">
                  <c:v>FRIM</c:v>
                </c:pt>
                <c:pt idx="1">
                  <c:v>MTIB</c:v>
                </c:pt>
                <c:pt idx="2">
                  <c:v>MPOB</c:v>
                </c:pt>
                <c:pt idx="3">
                  <c:v>LKTN</c:v>
                </c:pt>
                <c:pt idx="4">
                  <c:v>LAM</c:v>
                </c:pt>
                <c:pt idx="5">
                  <c:v>ISN</c:v>
                </c:pt>
                <c:pt idx="6">
                  <c:v>MSN</c:v>
                </c:pt>
                <c:pt idx="7">
                  <c:v>KHTP (KTPC)</c:v>
                </c:pt>
                <c:pt idx="8">
                  <c:v>KUIPS (Warranty)</c:v>
                </c:pt>
              </c:strCache>
            </c:strRef>
          </c:cat>
          <c:val>
            <c:numRef>
              <c:extLst>
                <c:ext xmlns:c15="http://schemas.microsoft.com/office/drawing/2012/chart" uri="{02D57815-91ED-43cb-92C2-25804820EDAC}">
                  <c15:fullRef>
                    <c15:sqref>'Ticket Issue Client Dashboard'!$J$20:$J$33</c15:sqref>
                  </c15:fullRef>
                </c:ext>
              </c:extLst>
              <c:f>('Ticket Issue Client Dashboard'!$J$20:$J$26,'Ticket Issue Client Dashboard'!$J$28:$J$29)</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7008-5045-8661-AA5DFAEDAA29}"/>
            </c:ext>
          </c:extLst>
        </c:ser>
        <c:dLbls>
          <c:showLegendKey val="0"/>
          <c:showVal val="0"/>
          <c:showCatName val="0"/>
          <c:showSerName val="0"/>
          <c:showPercent val="0"/>
          <c:showBubbleSize val="0"/>
        </c:dLbls>
        <c:gapWidth val="219"/>
        <c:axId val="2125951816"/>
        <c:axId val="2125891320"/>
      </c:barChart>
      <c:catAx>
        <c:axId val="2125951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25891320"/>
        <c:crosses val="autoZero"/>
        <c:auto val="1"/>
        <c:lblAlgn val="ctr"/>
        <c:lblOffset val="100"/>
        <c:noMultiLvlLbl val="0"/>
      </c:catAx>
      <c:valAx>
        <c:axId val="2125891320"/>
        <c:scaling>
          <c:orientation val="minMax"/>
          <c:max val="100"/>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2595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r>
              <a:rPr lang="en-US"/>
              <a:t>SLA EXCEED</a:t>
            </a:r>
            <a:r>
              <a:rPr lang="en-US" baseline="0"/>
              <a:t> TOTAL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endParaRPr lang="en-US"/>
        </a:p>
      </c:txPr>
    </c:title>
    <c:autoTitleDeleted val="0"/>
    <c:plotArea>
      <c:layout/>
      <c:barChart>
        <c:barDir val="bar"/>
        <c:grouping val="clustered"/>
        <c:varyColors val="0"/>
        <c:ser>
          <c:idx val="1"/>
          <c:order val="0"/>
          <c:spPr>
            <a:solidFill>
              <a:schemeClr val="accent2"/>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477D-AF45-B6B0-14854788928A}"/>
              </c:ext>
            </c:extLst>
          </c:dPt>
          <c:dPt>
            <c:idx val="1"/>
            <c:invertIfNegative val="0"/>
            <c:bubble3D val="0"/>
            <c:spPr>
              <a:solidFill>
                <a:srgbClr val="6A3AFF"/>
              </a:solidFill>
              <a:ln>
                <a:noFill/>
              </a:ln>
              <a:effectLst/>
            </c:spPr>
            <c:extLst>
              <c:ext xmlns:c16="http://schemas.microsoft.com/office/drawing/2014/chart" uri="{C3380CC4-5D6E-409C-BE32-E72D297353CC}">
                <c16:uniqueId val="{00000003-477D-AF45-B6B0-14854788928A}"/>
              </c:ext>
            </c:extLst>
          </c:dPt>
          <c:dPt>
            <c:idx val="2"/>
            <c:invertIfNegative val="0"/>
            <c:bubble3D val="0"/>
            <c:spPr>
              <a:solidFill>
                <a:srgbClr val="FF0000"/>
              </a:solidFill>
              <a:ln>
                <a:noFill/>
              </a:ln>
              <a:effectLst/>
            </c:spPr>
            <c:extLst>
              <c:ext xmlns:c16="http://schemas.microsoft.com/office/drawing/2014/chart" uri="{C3380CC4-5D6E-409C-BE32-E72D297353CC}">
                <c16:uniqueId val="{00000005-477D-AF45-B6B0-14854788928A}"/>
              </c:ext>
            </c:extLst>
          </c:dPt>
          <c:cat>
            <c:strRef>
              <c:f>'Ticket Issue Client Dashboard'!$H$19:$J$19</c:f>
              <c:strCache>
                <c:ptCount val="3"/>
                <c:pt idx="0">
                  <c:v>1-30 DAYS</c:v>
                </c:pt>
                <c:pt idx="1">
                  <c:v>31-60 DAYS</c:v>
                </c:pt>
                <c:pt idx="2">
                  <c:v>&gt; 60 DAYS</c:v>
                </c:pt>
              </c:strCache>
            </c:strRef>
          </c:cat>
          <c:val>
            <c:numRef>
              <c:f>'Ticket Issue Client Dashboard'!$H$34:$J$34</c:f>
              <c:numCache>
                <c:formatCode>0</c:formatCode>
                <c:ptCount val="3"/>
                <c:pt idx="0">
                  <c:v>0</c:v>
                </c:pt>
                <c:pt idx="1">
                  <c:v>0</c:v>
                </c:pt>
                <c:pt idx="2">
                  <c:v>0</c:v>
                </c:pt>
              </c:numCache>
            </c:numRef>
          </c:val>
          <c:extLst>
            <c:ext xmlns:c16="http://schemas.microsoft.com/office/drawing/2014/chart" uri="{C3380CC4-5D6E-409C-BE32-E72D297353CC}">
              <c16:uniqueId val="{00000006-477D-AF45-B6B0-14854788928A}"/>
            </c:ext>
          </c:extLst>
        </c:ser>
        <c:ser>
          <c:idx val="0"/>
          <c:order val="1"/>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8-477D-AF45-B6B0-14854788928A}"/>
              </c:ext>
            </c:extLst>
          </c:dPt>
          <c:dPt>
            <c:idx val="1"/>
            <c:invertIfNegative val="0"/>
            <c:bubble3D val="0"/>
            <c:spPr>
              <a:solidFill>
                <a:srgbClr val="6A3AFF"/>
              </a:solidFill>
              <a:ln>
                <a:noFill/>
              </a:ln>
              <a:effectLst/>
            </c:spPr>
            <c:extLst>
              <c:ext xmlns:c16="http://schemas.microsoft.com/office/drawing/2014/chart" uri="{C3380CC4-5D6E-409C-BE32-E72D297353CC}">
                <c16:uniqueId val="{0000000A-477D-AF45-B6B0-14854788928A}"/>
              </c:ext>
            </c:extLst>
          </c:dPt>
          <c:dPt>
            <c:idx val="2"/>
            <c:invertIfNegative val="0"/>
            <c:bubble3D val="0"/>
            <c:spPr>
              <a:solidFill>
                <a:srgbClr val="FF0000"/>
              </a:solidFill>
              <a:ln>
                <a:noFill/>
              </a:ln>
              <a:effectLst/>
            </c:spPr>
            <c:extLst>
              <c:ext xmlns:c16="http://schemas.microsoft.com/office/drawing/2014/chart" uri="{C3380CC4-5D6E-409C-BE32-E72D297353CC}">
                <c16:uniqueId val="{0000000C-477D-AF45-B6B0-14854788928A}"/>
              </c:ext>
            </c:extLst>
          </c:dPt>
          <c:dLbls>
            <c:spPr>
              <a:noFill/>
              <a:ln>
                <a:noFill/>
              </a:ln>
              <a:effectLst/>
            </c:spPr>
            <c:txPr>
              <a:bodyPr rot="0" spcFirstLastPara="1" vertOverflow="ellipsis" vert="horz" wrap="square" anchor="ctr" anchorCtr="1"/>
              <a:lstStyle/>
              <a:p>
                <a:pPr>
                  <a:defRPr sz="900" b="1" i="0" u="none" strike="noStrike" kern="1200" baseline="0">
                    <a:solidFill>
                      <a:srgbClr val="FFDCE4"/>
                    </a:solidFill>
                    <a:latin typeface="Century Gothic" panose="020B0502020202020204" pitchFamily="34" charset="0"/>
                    <a:ea typeface="Arial" charset="0"/>
                    <a:cs typeface="Arial"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'Ticket Issue Client Dashboard'!$H$19:$J$19</c:f>
              <c:strCache>
                <c:ptCount val="3"/>
                <c:pt idx="0">
                  <c:v>1-30 DAYS</c:v>
                </c:pt>
                <c:pt idx="1">
                  <c:v>31-60 DAYS</c:v>
                </c:pt>
                <c:pt idx="2">
                  <c:v>&gt; 60 DAYS</c:v>
                </c:pt>
              </c:strCache>
            </c:strRef>
          </c:cat>
          <c:val>
            <c:numRef>
              <c:f>'Ticket Issue Client Dashboard'!$H$34:$J$34</c:f>
              <c:numCache>
                <c:formatCode>0</c:formatCode>
                <c:ptCount val="3"/>
                <c:pt idx="0">
                  <c:v>0</c:v>
                </c:pt>
                <c:pt idx="1">
                  <c:v>0</c:v>
                </c:pt>
                <c:pt idx="2">
                  <c:v>0</c:v>
                </c:pt>
              </c:numCache>
            </c:numRef>
          </c:val>
          <c:extLst>
            <c:ext xmlns:c16="http://schemas.microsoft.com/office/drawing/2014/chart" uri="{C3380CC4-5D6E-409C-BE32-E72D297353CC}">
              <c16:uniqueId val="{0000000D-477D-AF45-B6B0-14854788928A}"/>
            </c:ext>
          </c:extLst>
        </c:ser>
        <c:dLbls>
          <c:showLegendKey val="0"/>
          <c:showVal val="0"/>
          <c:showCatName val="0"/>
          <c:showSerName val="0"/>
          <c:showPercent val="0"/>
          <c:showBubbleSize val="0"/>
        </c:dLbls>
        <c:gapWidth val="50"/>
        <c:axId val="2125899112"/>
        <c:axId val="-2102169416"/>
      </c:barChart>
      <c:catAx>
        <c:axId val="2125899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02169416"/>
        <c:crosses val="autoZero"/>
        <c:auto val="1"/>
        <c:lblAlgn val="ctr"/>
        <c:lblOffset val="100"/>
        <c:noMultiLvlLbl val="0"/>
      </c:catAx>
      <c:valAx>
        <c:axId val="-2102169416"/>
        <c:scaling>
          <c:orientation val="minMax"/>
          <c:max val="100"/>
          <c:min val="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25899112"/>
        <c:crosses val="autoZero"/>
        <c:crossBetween val="between"/>
        <c:majorUnit val="5"/>
        <c:min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OPEN ISSUES</c:v>
          </c:tx>
          <c:spPr>
            <a:solidFill>
              <a:srgbClr val="92D050"/>
            </a:solid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'Ticket Issue Client Dashboard'!$B$20:$B$33</c15:sqref>
                  </c15:fullRef>
                </c:ext>
              </c:extLst>
              <c:f>('Ticket Issue Client Dashboard'!$B$20:$B$26,'Ticket Issue Client Dashboard'!$B$28:$B$29)</c:f>
              <c:strCache>
                <c:ptCount val="9"/>
                <c:pt idx="0">
                  <c:v>FRIM</c:v>
                </c:pt>
                <c:pt idx="1">
                  <c:v>MTIB</c:v>
                </c:pt>
                <c:pt idx="2">
                  <c:v>MPOB</c:v>
                </c:pt>
                <c:pt idx="3">
                  <c:v>LKTN</c:v>
                </c:pt>
                <c:pt idx="4">
                  <c:v>LAM</c:v>
                </c:pt>
                <c:pt idx="5">
                  <c:v>ISN</c:v>
                </c:pt>
                <c:pt idx="6">
                  <c:v>MSN</c:v>
                </c:pt>
                <c:pt idx="7">
                  <c:v>KHTP (KTPC)</c:v>
                </c:pt>
                <c:pt idx="8">
                  <c:v>KUIPS (Warranty)</c:v>
                </c:pt>
              </c:strCache>
            </c:strRef>
          </c:cat>
          <c:val>
            <c:numRef>
              <c:extLst>
                <c:ext xmlns:c15="http://schemas.microsoft.com/office/drawing/2012/chart" uri="{02D57815-91ED-43cb-92C2-25804820EDAC}">
                  <c15:fullRef>
                    <c15:sqref>'Ticket Issue Client Dashboard'!$K$20:$K$33</c15:sqref>
                  </c15:fullRef>
                </c:ext>
              </c:extLst>
              <c:f>('Ticket Issue Client Dashboard'!$K$20:$K$26,'Ticket Issue Client Dashboard'!$K$28:$K$29)</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81F1-418B-ADA7-EC0587B6059A}"/>
            </c:ext>
          </c:extLst>
        </c:ser>
        <c:ser>
          <c:idx val="1"/>
          <c:order val="1"/>
          <c:tx>
            <c:v>PENDING</c:v>
          </c:tx>
          <c:spPr>
            <a:solidFill>
              <a:srgbClr val="FF0000"/>
            </a:solid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'Ticket Issue Client Dashboard'!$B$20:$B$33</c15:sqref>
                  </c15:fullRef>
                </c:ext>
              </c:extLst>
              <c:f>('Ticket Issue Client Dashboard'!$B$20:$B$26,'Ticket Issue Client Dashboard'!$B$28:$B$29)</c:f>
              <c:strCache>
                <c:ptCount val="9"/>
                <c:pt idx="0">
                  <c:v>FRIM</c:v>
                </c:pt>
                <c:pt idx="1">
                  <c:v>MTIB</c:v>
                </c:pt>
                <c:pt idx="2">
                  <c:v>MPOB</c:v>
                </c:pt>
                <c:pt idx="3">
                  <c:v>LKTN</c:v>
                </c:pt>
                <c:pt idx="4">
                  <c:v>LAM</c:v>
                </c:pt>
                <c:pt idx="5">
                  <c:v>ISN</c:v>
                </c:pt>
                <c:pt idx="6">
                  <c:v>MSN</c:v>
                </c:pt>
                <c:pt idx="7">
                  <c:v>KHTP (KTPC)</c:v>
                </c:pt>
                <c:pt idx="8">
                  <c:v>KUIPS (Warranty)</c:v>
                </c:pt>
              </c:strCache>
            </c:strRef>
          </c:cat>
          <c:val>
            <c:numRef>
              <c:extLst>
                <c:ext xmlns:c15="http://schemas.microsoft.com/office/drawing/2012/chart" uri="{02D57815-91ED-43cb-92C2-25804820EDAC}">
                  <c15:fullRef>
                    <c15:sqref>'Ticket Issue Client Dashboard'!$L$20:$L$33</c15:sqref>
                  </c15:fullRef>
                </c:ext>
              </c:extLst>
              <c:f>('Ticket Issue Client Dashboard'!$L$20:$L$26,'Ticket Issue Client Dashboard'!$L$28:$L$29)</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81F1-418B-ADA7-EC0587B6059A}"/>
            </c:ext>
          </c:extLst>
        </c:ser>
        <c:ser>
          <c:idx val="3"/>
          <c:order val="3"/>
          <c:tx>
            <c:strRef>
              <c:f>'Ticket Issue Client Dashboard'!$M$18:$M$19</c:f>
              <c:strCache>
                <c:ptCount val="2"/>
                <c:pt idx="0">
                  <c:v>COMPLETED / CLOSED</c:v>
                </c:pt>
              </c:strCache>
            </c:strRef>
          </c:tx>
          <c:spPr>
            <a:solidFill>
              <a:srgbClr val="FFFF00"/>
            </a:solidFill>
            <a:ln>
              <a:noFill/>
            </a:ln>
            <a:effectLst>
              <a:innerShdw blurRad="114300">
                <a:schemeClr val="accent4"/>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'Ticket Issue Client Dashboard'!$B$20:$B$33</c15:sqref>
                  </c15:fullRef>
                </c:ext>
              </c:extLst>
              <c:f>('Ticket Issue Client Dashboard'!$B$20:$B$26,'Ticket Issue Client Dashboard'!$B$28:$B$29)</c:f>
              <c:strCache>
                <c:ptCount val="9"/>
                <c:pt idx="0">
                  <c:v>FRIM</c:v>
                </c:pt>
                <c:pt idx="1">
                  <c:v>MTIB</c:v>
                </c:pt>
                <c:pt idx="2">
                  <c:v>MPOB</c:v>
                </c:pt>
                <c:pt idx="3">
                  <c:v>LKTN</c:v>
                </c:pt>
                <c:pt idx="4">
                  <c:v>LAM</c:v>
                </c:pt>
                <c:pt idx="5">
                  <c:v>ISN</c:v>
                </c:pt>
                <c:pt idx="6">
                  <c:v>MSN</c:v>
                </c:pt>
                <c:pt idx="7">
                  <c:v>KHTP (KTPC)</c:v>
                </c:pt>
                <c:pt idx="8">
                  <c:v>KUIPS (Warranty)</c:v>
                </c:pt>
              </c:strCache>
            </c:strRef>
          </c:cat>
          <c:val>
            <c:numRef>
              <c:extLst>
                <c:ext xmlns:c15="http://schemas.microsoft.com/office/drawing/2012/chart" uri="{02D57815-91ED-43cb-92C2-25804820EDAC}">
                  <c15:fullRef>
                    <c15:sqref>'Ticket Issue Client Dashboard'!$M$20:$M$33</c15:sqref>
                  </c15:fullRef>
                </c:ext>
              </c:extLst>
              <c:f>('Ticket Issue Client Dashboard'!$M$20:$M$26,'Ticket Issue Client Dashboard'!$M$28:$M$29)</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81F1-418B-ADA7-EC0587B6059A}"/>
            </c:ext>
          </c:extLst>
        </c:ser>
        <c:dLbls>
          <c:dLblPos val="outEnd"/>
          <c:showLegendKey val="0"/>
          <c:showVal val="1"/>
          <c:showCatName val="0"/>
          <c:showSerName val="0"/>
          <c:showPercent val="0"/>
          <c:showBubbleSize val="0"/>
        </c:dLbls>
        <c:gapWidth val="164"/>
        <c:overlap val="-22"/>
        <c:axId val="-2101824104"/>
        <c:axId val="-2102104328"/>
        <c:extLst>
          <c:ext xmlns:c15="http://schemas.microsoft.com/office/drawing/2012/chart" uri="{02D57815-91ED-43cb-92C2-25804820EDAC}">
            <c15:filteredBarSeries>
              <c15:ser>
                <c:idx val="2"/>
                <c:order val="2"/>
                <c:tx>
                  <c:v>PENDING ACTIONS</c:v>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a:solidFill>
                              <a:schemeClr val="tx1">
                                <a:lumMod val="35000"/>
                                <a:lumOff val="65000"/>
                              </a:schemeClr>
                            </a:solidFill>
                          </a:ln>
                          <a:effectLst/>
                        </c:spPr>
                      </c15:leaderLines>
                    </c:ext>
                  </c:extLst>
                </c:dLbls>
                <c:cat>
                  <c:strRef>
                    <c:extLst>
                      <c:ext uri="{02D57815-91ED-43cb-92C2-25804820EDAC}">
                        <c15:fullRef>
                          <c15:sqref>'Ticket Issue Client Dashboard'!$B$20:$B$33</c15:sqref>
                        </c15:fullRef>
                        <c15:formulaRef>
                          <c15:sqref>('Ticket Issue Client Dashboard'!$B$20:$B$26,'Ticket Issue Client Dashboard'!$B$28:$B$29)</c15:sqref>
                        </c15:formulaRef>
                      </c:ext>
                    </c:extLst>
                    <c:strCache>
                      <c:ptCount val="9"/>
                      <c:pt idx="0">
                        <c:v>FRIM</c:v>
                      </c:pt>
                      <c:pt idx="1">
                        <c:v>MTIB</c:v>
                      </c:pt>
                      <c:pt idx="2">
                        <c:v>MPOB</c:v>
                      </c:pt>
                      <c:pt idx="3">
                        <c:v>LKTN</c:v>
                      </c:pt>
                      <c:pt idx="4">
                        <c:v>LAM</c:v>
                      </c:pt>
                      <c:pt idx="5">
                        <c:v>ISN</c:v>
                      </c:pt>
                      <c:pt idx="6">
                        <c:v>MSN</c:v>
                      </c:pt>
                      <c:pt idx="7">
                        <c:v>KHTP (KTPC)</c:v>
                      </c:pt>
                      <c:pt idx="8">
                        <c:v>KUIPS (Warranty)</c:v>
                      </c:pt>
                    </c:strCache>
                  </c:strRef>
                </c:cat>
                <c:val>
                  <c:numRef>
                    <c:extLst>
                      <c:ext uri="{02D57815-91ED-43cb-92C2-25804820EDAC}">
                        <c15:fullRef>
                          <c15:sqref>'Ticket Issue Client Dashboard'!$M$20:$M$33</c15:sqref>
                        </c15:fullRef>
                        <c15:formulaRef>
                          <c15:sqref>('Ticket Issue Client Dashboard'!$M$20:$M$26,'Ticket Issue Client Dashboard'!$M$28:$M$29)</c15:sqref>
                        </c15:formulaRef>
                      </c:ext>
                    </c:extLst>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3-81F1-418B-ADA7-EC0587B6059A}"/>
                  </c:ext>
                </c:extLst>
              </c15:ser>
            </c15:filteredBarSeries>
          </c:ext>
        </c:extLst>
      </c:barChart>
      <c:catAx>
        <c:axId val="-210182410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104328"/>
        <c:crosses val="autoZero"/>
        <c:auto val="1"/>
        <c:lblAlgn val="ctr"/>
        <c:lblOffset val="100"/>
        <c:noMultiLvlLbl val="0"/>
      </c:catAx>
      <c:valAx>
        <c:axId val="-2102104328"/>
        <c:scaling>
          <c:orientation val="minMax"/>
          <c:max val="300"/>
          <c:min val="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824104"/>
        <c:crosses val="autoZero"/>
        <c:crossBetween val="between"/>
        <c:majorUnit val="10"/>
        <c:minorUnit val="5"/>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r>
              <a:rPr lang="en-US"/>
              <a:t>ACTION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endParaRPr lang="en-US"/>
        </a:p>
      </c:txPr>
    </c:title>
    <c:autoTitleDeleted val="0"/>
    <c:plotArea>
      <c:layout>
        <c:manualLayout>
          <c:layoutTarget val="inner"/>
          <c:xMode val="edge"/>
          <c:yMode val="edge"/>
          <c:x val="0.13180188630694201"/>
          <c:y val="0.222382584529875"/>
          <c:w val="0.84044351906067205"/>
          <c:h val="0.64364705882352902"/>
        </c:manualLayout>
      </c:layout>
      <c:barChart>
        <c:barDir val="bar"/>
        <c:grouping val="clustered"/>
        <c:varyColors val="0"/>
        <c:ser>
          <c:idx val="1"/>
          <c:order val="1"/>
          <c:tx>
            <c:strRef>
              <c:f>'Ticket Issue Client Dashboard'!$K$19</c:f>
              <c:strCache>
                <c:ptCount val="1"/>
                <c:pt idx="0">
                  <c:v>INPROGRESS</c:v>
                </c:pt>
              </c:strCache>
            </c:strRef>
          </c:tx>
          <c:spPr>
            <a:solidFill>
              <a:srgbClr val="92D050"/>
            </a:solidFill>
            <a:ln>
              <a:noFill/>
            </a:ln>
            <a:effectLst/>
          </c:spPr>
          <c:invertIfNegative val="0"/>
          <c:cat>
            <c:strRef>
              <c:extLst>
                <c:ext xmlns:c15="http://schemas.microsoft.com/office/drawing/2012/chart" uri="{02D57815-91ED-43cb-92C2-25804820EDAC}">
                  <c15:fullRef>
                    <c15:sqref>'Ticket Issue Client Dashboard'!$K$19</c15:sqref>
                  </c15:fullRef>
                </c:ext>
              </c:extLst>
              <c:f>'Ticket Issue Client Dashboard'!$K$19</c:f>
              <c:strCache>
                <c:ptCount val="1"/>
                <c:pt idx="0">
                  <c:v>INPROGRESS</c:v>
                </c:pt>
              </c:strCache>
            </c:strRef>
          </c:cat>
          <c:val>
            <c:numRef>
              <c:extLst>
                <c:ext xmlns:c15="http://schemas.microsoft.com/office/drawing/2012/chart" uri="{02D57815-91ED-43cb-92C2-25804820EDAC}">
                  <c15:fullRef>
                    <c15:sqref>'Ticket Issue Client Dashboard'!$K$34</c15:sqref>
                  </c15:fullRef>
                </c:ext>
              </c:extLst>
              <c:f>'Ticket Issue Client Dashboard'!$K$34</c:f>
              <c:numCache>
                <c:formatCode>0</c:formatCode>
                <c:ptCount val="1"/>
                <c:pt idx="0">
                  <c:v>0</c:v>
                </c:pt>
              </c:numCache>
            </c:numRef>
          </c:val>
          <c:extLst>
            <c:ext xmlns:c16="http://schemas.microsoft.com/office/drawing/2014/chart" uri="{C3380CC4-5D6E-409C-BE32-E72D297353CC}">
              <c16:uniqueId val="{00000000-2D8A-49FF-BC91-4131459FD81A}"/>
            </c:ext>
          </c:extLst>
        </c:ser>
        <c:ser>
          <c:idx val="2"/>
          <c:order val="2"/>
          <c:tx>
            <c:strRef>
              <c:f>'Ticket Issue Client Dashboard'!$L$19</c:f>
              <c:strCache>
                <c:ptCount val="1"/>
                <c:pt idx="0">
                  <c:v>PENDING</c:v>
                </c:pt>
              </c:strCache>
            </c:strRef>
          </c:tx>
          <c:spPr>
            <a:solidFill>
              <a:srgbClr val="FF0000"/>
            </a:solidFill>
            <a:ln>
              <a:noFill/>
            </a:ln>
            <a:effectLst/>
          </c:spPr>
          <c:invertIfNegative val="0"/>
          <c:cat>
            <c:strRef>
              <c:extLst>
                <c:ext xmlns:c15="http://schemas.microsoft.com/office/drawing/2012/chart" uri="{02D57815-91ED-43cb-92C2-25804820EDAC}">
                  <c15:fullRef>
                    <c15:sqref>'Ticket Issue Client Dashboard'!$K$19</c15:sqref>
                  </c15:fullRef>
                </c:ext>
              </c:extLst>
              <c:f>'Ticket Issue Client Dashboard'!$K$19</c:f>
              <c:strCache>
                <c:ptCount val="1"/>
                <c:pt idx="0">
                  <c:v>INPROGRESS</c:v>
                </c:pt>
              </c:strCache>
            </c:strRef>
          </c:cat>
          <c:val>
            <c:numRef>
              <c:extLst>
                <c:ext xmlns:c15="http://schemas.microsoft.com/office/drawing/2012/chart" uri="{02D57815-91ED-43cb-92C2-25804820EDAC}">
                  <c15:fullRef>
                    <c15:sqref>'Ticket Issue Client Dashboard'!$L$34</c15:sqref>
                  </c15:fullRef>
                </c:ext>
              </c:extLst>
              <c:f>'Ticket Issue Client Dashboard'!$L$34</c:f>
              <c:numCache>
                <c:formatCode>0</c:formatCode>
                <c:ptCount val="1"/>
                <c:pt idx="0">
                  <c:v>0</c:v>
                </c:pt>
              </c:numCache>
            </c:numRef>
          </c:val>
          <c:extLst>
            <c:ext xmlns:c16="http://schemas.microsoft.com/office/drawing/2014/chart" uri="{C3380CC4-5D6E-409C-BE32-E72D297353CC}">
              <c16:uniqueId val="{00000001-2D8A-49FF-BC91-4131459FD81A}"/>
            </c:ext>
          </c:extLst>
        </c:ser>
        <c:ser>
          <c:idx val="3"/>
          <c:order val="3"/>
          <c:tx>
            <c:strRef>
              <c:f>'Ticket Issue Client Dashboard'!$M$18:$M$19</c:f>
              <c:strCache>
                <c:ptCount val="1"/>
                <c:pt idx="0">
                  <c:v>COMPLETED / CLOSED</c:v>
                </c:pt>
              </c:strCache>
            </c:strRef>
          </c:tx>
          <c:spPr>
            <a:solidFill>
              <a:srgbClr val="FFC000"/>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6-89AC-4F17-B82E-E4F036CCED91}"/>
              </c:ext>
            </c:extLst>
          </c:dPt>
          <c:cat>
            <c:strRef>
              <c:extLst>
                <c:ext xmlns:c15="http://schemas.microsoft.com/office/drawing/2012/chart" uri="{02D57815-91ED-43cb-92C2-25804820EDAC}">
                  <c15:fullRef>
                    <c15:sqref>'Ticket Issue Client Dashboard'!$K$19</c15:sqref>
                  </c15:fullRef>
                </c:ext>
              </c:extLst>
              <c:f>'Ticket Issue Client Dashboard'!$K$19</c:f>
              <c:strCache>
                <c:ptCount val="1"/>
                <c:pt idx="0">
                  <c:v>INPROGRESS</c:v>
                </c:pt>
              </c:strCache>
            </c:strRef>
          </c:cat>
          <c:val>
            <c:numRef>
              <c:extLst>
                <c:ext xmlns:c15="http://schemas.microsoft.com/office/drawing/2012/chart" uri="{02D57815-91ED-43cb-92C2-25804820EDAC}">
                  <c15:fullRef>
                    <c15:sqref>'Ticket Issue Client Dashboard'!$M$34</c15:sqref>
                  </c15:fullRef>
                </c:ext>
              </c:extLst>
              <c:f>'Ticket Issue Client Dashboard'!$M$34</c:f>
              <c:numCache>
                <c:formatCode>0</c:formatCode>
                <c:ptCount val="1"/>
                <c:pt idx="0">
                  <c:v>0</c:v>
                </c:pt>
              </c:numCache>
            </c:numRef>
          </c:val>
          <c:extLst>
            <c:ext xmlns:c16="http://schemas.microsoft.com/office/drawing/2014/chart" uri="{C3380CC4-5D6E-409C-BE32-E72D297353CC}">
              <c16:uniqueId val="{00000002-2D8A-49FF-BC91-4131459FD81A}"/>
            </c:ext>
          </c:extLst>
        </c:ser>
        <c:dLbls>
          <c:showLegendKey val="0"/>
          <c:showVal val="0"/>
          <c:showCatName val="0"/>
          <c:showSerName val="0"/>
          <c:showPercent val="0"/>
          <c:showBubbleSize val="0"/>
        </c:dLbls>
        <c:gapWidth val="50"/>
        <c:axId val="2116180808"/>
        <c:axId val="2139877704"/>
        <c:extLst>
          <c:ext xmlns:c15="http://schemas.microsoft.com/office/drawing/2012/chart" uri="{02D57815-91ED-43cb-92C2-25804820EDAC}">
            <c15:filteredBarSeries>
              <c15:ser>
                <c:idx val="0"/>
                <c:order val="0"/>
                <c:spPr>
                  <a:solidFill>
                    <a:schemeClr val="accent1"/>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4-2D8A-49FF-BC91-4131459FD81A}"/>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entury Gothic" panose="020B0502020202020204" pitchFamily="34" charset="0"/>
                          <a:ea typeface="Arial" charset="0"/>
                          <a:cs typeface="Arial" charset="0"/>
                        </a:defRPr>
                      </a:pPr>
                      <a:endParaRPr lang="en-US"/>
                    </a:p>
                  </c:txPr>
                  <c:dLblPos val="in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'Ticket Issue Client Dashboard'!$K$19</c15:sqref>
                        </c15:fullRef>
                        <c15:formulaRef>
                          <c15:sqref>'Ticket Issue Client Dashboard'!$K$19</c15:sqref>
                        </c15:formulaRef>
                      </c:ext>
                    </c:extLst>
                    <c:strCache>
                      <c:ptCount val="1"/>
                      <c:pt idx="0">
                        <c:v>INPROGRESS</c:v>
                      </c:pt>
                    </c:strCache>
                  </c:strRef>
                </c:cat>
                <c:val>
                  <c:numRef>
                    <c:extLst>
                      <c:ext uri="{02D57815-91ED-43cb-92C2-25804820EDAC}">
                        <c15:fullRef>
                          <c15:sqref>'Ticket Issue Client Dashboard'!$K$34:$M$34</c15:sqref>
                        </c15:fullRef>
                        <c15:formulaRef>
                          <c15:sqref>'Ticket Issue Client Dashboard'!$K$34</c15:sqref>
                        </c15:formulaRef>
                      </c:ext>
                    </c:extLst>
                    <c:numCache>
                      <c:formatCode>0</c:formatCode>
                      <c:ptCount val="1"/>
                      <c:pt idx="0">
                        <c:v>0</c:v>
                      </c:pt>
                    </c:numCache>
                  </c:numRef>
                </c:val>
                <c:extLst>
                  <c:ext uri="{02D57815-91ED-43cb-92C2-25804820EDAC}">
                    <c15:categoryFilterExceptions>
                      <c15:categoryFilterException>
                        <c15:sqref>'Ticket Issue Client Dashboard'!$L$34</c15:sqref>
                        <c15:spPr xmlns:c15="http://schemas.microsoft.com/office/drawing/2012/chart">
                          <a:solidFill>
                            <a:srgbClr val="ED7C00"/>
                          </a:solidFill>
                          <a:ln>
                            <a:noFill/>
                          </a:ln>
                          <a:effectLst/>
                        </c15:spPr>
                        <c15:invertIfNegative val="0"/>
                        <c15:bubble3D val="0"/>
                      </c15:categoryFilterException>
                      <c15:categoryFilterException>
                        <c15:sqref>'Ticket Issue Client Dashboard'!$M$34</c15:sqref>
                        <c15:spPr xmlns:c15="http://schemas.microsoft.com/office/drawing/2012/chart">
                          <a:solidFill>
                            <a:srgbClr val="FFFF00"/>
                          </a:solidFill>
                          <a:ln>
                            <a:noFill/>
                          </a:ln>
                          <a:effectLst/>
                        </c15:spPr>
                        <c15:invertIfNegative val="0"/>
                        <c15:bubble3D val="0"/>
                      </c15:categoryFilterException>
                    </c15:categoryFilterExceptions>
                  </c:ext>
                  <c:ext xmlns:c16="http://schemas.microsoft.com/office/drawing/2014/chart" uri="{C3380CC4-5D6E-409C-BE32-E72D297353CC}">
                    <c16:uniqueId val="{00000005-2D8A-49FF-BC91-4131459FD81A}"/>
                  </c:ext>
                </c:extLst>
              </c15:ser>
            </c15:filteredBarSeries>
          </c:ext>
        </c:extLst>
      </c:barChart>
      <c:catAx>
        <c:axId val="2116180808"/>
        <c:scaling>
          <c:orientation val="minMax"/>
        </c:scaling>
        <c:delete val="1"/>
        <c:axPos val="l"/>
        <c:numFmt formatCode="General" sourceLinked="1"/>
        <c:majorTickMark val="none"/>
        <c:minorTickMark val="none"/>
        <c:tickLblPos val="nextTo"/>
        <c:crossAx val="2139877704"/>
        <c:crosses val="autoZero"/>
        <c:auto val="1"/>
        <c:lblAlgn val="ctr"/>
        <c:lblOffset val="100"/>
        <c:noMultiLvlLbl val="0"/>
      </c:catAx>
      <c:valAx>
        <c:axId val="2139877704"/>
        <c:scaling>
          <c:orientation val="minMax"/>
          <c:max val="400"/>
          <c:min val="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cross"/>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16180808"/>
        <c:crosses val="autoZero"/>
        <c:crossBetween val="between"/>
        <c:majorUnit val="10"/>
        <c:minorUnit val="1"/>
      </c:valAx>
      <c:spPr>
        <a:noFill/>
        <a:ln>
          <a:noFill/>
        </a:ln>
        <a:effectLst/>
      </c:spPr>
    </c:plotArea>
    <c:plotVisOnly val="1"/>
    <c:dispBlanksAs val="gap"/>
    <c:showDLblsOverMax val="0"/>
  </c:chart>
  <c:spPr>
    <a:solidFill>
      <a:schemeClr val="bg1"/>
    </a:solidFill>
    <a:ln w="9525" cap="flat" cmpd="sng" algn="ctr">
      <a:noFill/>
      <a:round/>
    </a:ln>
    <a:effectLst/>
  </c:spPr>
  <c:txPr>
    <a:bodyPr rot="0" vert="horz"/>
    <a:lstStyle/>
    <a:p>
      <a:pPr>
        <a:defRPr>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hyperlink" Target="https://www.smartsheet.com/try-it?trp=12400&amp;utm_source=template-excel&amp;utm_medium=content&amp;utm_campaign=SEO" TargetMode="Externa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127000</xdr:rowOff>
    </xdr:from>
    <xdr:to>
      <xdr:col>10</xdr:col>
      <xdr:colOff>812800</xdr:colOff>
      <xdr:row>3</xdr:row>
      <xdr:rowOff>4838700</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4</xdr:row>
      <xdr:rowOff>38100</xdr:rowOff>
    </xdr:from>
    <xdr:to>
      <xdr:col>6</xdr:col>
      <xdr:colOff>444500</xdr:colOff>
      <xdr:row>4</xdr:row>
      <xdr:rowOff>3604260</xdr:rowOff>
    </xdr:to>
    <xdr:graphicFrame macro="">
      <xdr:nvGraphicFramePr>
        <xdr:cNvPr id="5" name="Chart 4">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495300</xdr:colOff>
      <xdr:row>4</xdr:row>
      <xdr:rowOff>38100</xdr:rowOff>
    </xdr:from>
    <xdr:to>
      <xdr:col>10</xdr:col>
      <xdr:colOff>812800</xdr:colOff>
      <xdr:row>4</xdr:row>
      <xdr:rowOff>3604260</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7</xdr:row>
      <xdr:rowOff>38100</xdr:rowOff>
    </xdr:from>
    <xdr:to>
      <xdr:col>10</xdr:col>
      <xdr:colOff>809244</xdr:colOff>
      <xdr:row>7</xdr:row>
      <xdr:rowOff>4826000</xdr:rowOff>
    </xdr:to>
    <xdr:graphicFrame macro="">
      <xdr:nvGraphicFramePr>
        <xdr:cNvPr id="8" name="Chart 7">
          <a:extLst>
            <a:ext uri="{FF2B5EF4-FFF2-40B4-BE49-F238E27FC236}">
              <a16:creationId xmlns:a16="http://schemas.microsoft.com/office/drawing/2014/main" i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10</xdr:row>
      <xdr:rowOff>76200</xdr:rowOff>
    </xdr:from>
    <xdr:to>
      <xdr:col>10</xdr:col>
      <xdr:colOff>809244</xdr:colOff>
      <xdr:row>10</xdr:row>
      <xdr:rowOff>2882900</xdr:rowOff>
    </xdr:to>
    <xdr:graphicFrame macro="">
      <xdr:nvGraphicFramePr>
        <xdr:cNvPr id="9" name="Chart 8">
          <a:extLst>
            <a:ext uri="{FF2B5EF4-FFF2-40B4-BE49-F238E27FC236}">
              <a16:creationId xmlns:a16="http://schemas.microsoft.com/office/drawing/2014/main" i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12</xdr:row>
      <xdr:rowOff>63500</xdr:rowOff>
    </xdr:from>
    <xdr:to>
      <xdr:col>10</xdr:col>
      <xdr:colOff>809244</xdr:colOff>
      <xdr:row>13</xdr:row>
      <xdr:rowOff>12700</xdr:rowOff>
    </xdr:to>
    <xdr:graphicFrame macro="">
      <xdr:nvGraphicFramePr>
        <xdr:cNvPr id="10" name="Chart 9">
          <a:extLst>
            <a:ext uri="{FF2B5EF4-FFF2-40B4-BE49-F238E27FC236}">
              <a16:creationId xmlns:a16="http://schemas.microsoft.com/office/drawing/2014/main" i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15</xdr:row>
      <xdr:rowOff>76200</xdr:rowOff>
    </xdr:from>
    <xdr:to>
      <xdr:col>10</xdr:col>
      <xdr:colOff>809244</xdr:colOff>
      <xdr:row>15</xdr:row>
      <xdr:rowOff>2819400</xdr:rowOff>
    </xdr:to>
    <xdr:graphicFrame macro="">
      <xdr:nvGraphicFramePr>
        <xdr:cNvPr id="12" name="Chart 11">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0</xdr:colOff>
      <xdr:row>17</xdr:row>
      <xdr:rowOff>63500</xdr:rowOff>
    </xdr:from>
    <xdr:to>
      <xdr:col>10</xdr:col>
      <xdr:colOff>809244</xdr:colOff>
      <xdr:row>17</xdr:row>
      <xdr:rowOff>2197100</xdr:rowOff>
    </xdr:to>
    <xdr:graphicFrame macro="">
      <xdr:nvGraphicFramePr>
        <xdr:cNvPr id="13" name="Chart 12">
          <a:extLst>
            <a:ext uri="{FF2B5EF4-FFF2-40B4-BE49-F238E27FC236}">
              <a16:creationId xmlns:a16="http://schemas.microsoft.com/office/drawing/2014/main" id="{00000000-0008-0000-00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0</xdr:row>
      <xdr:rowOff>0</xdr:rowOff>
    </xdr:from>
    <xdr:to>
      <xdr:col>10</xdr:col>
      <xdr:colOff>190500</xdr:colOff>
      <xdr:row>1</xdr:row>
      <xdr:rowOff>42528</xdr:rowOff>
    </xdr:to>
    <xdr:pic>
      <xdr:nvPicPr>
        <xdr:cNvPr id="14" name="Рисунок 2">
          <a:hlinkClick xmlns:r="http://schemas.openxmlformats.org/officeDocument/2006/relationships" r:id="rId9"/>
          <a:extLst>
            <a:ext uri="{FF2B5EF4-FFF2-40B4-BE49-F238E27FC236}">
              <a16:creationId xmlns:a16="http://schemas.microsoft.com/office/drawing/2014/main" id="{26F18249-74A7-AE48-A422-328893E3E749}"/>
            </a:ext>
          </a:extLst>
        </xdr:cNvPr>
        <xdr:cNvPicPr>
          <a:picLocks noChangeAspect="1"/>
        </xdr:cNvPicPr>
      </xdr:nvPicPr>
      <xdr:blipFill>
        <a:blip xmlns:r="http://schemas.openxmlformats.org/officeDocument/2006/relationships" r:embed="rId10"/>
        <a:stretch>
          <a:fillRect/>
        </a:stretch>
      </xdr:blipFill>
      <xdr:spPr>
        <a:xfrm>
          <a:off x="0" y="0"/>
          <a:ext cx="9080500" cy="2417428"/>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0.00617</cdr:x>
      <cdr:y>0.25294</cdr:y>
    </cdr:from>
    <cdr:to>
      <cdr:x>0.13719</cdr:x>
      <cdr:y>0.85294</cdr:y>
    </cdr:to>
    <cdr:sp macro="" textlink="">
      <cdr:nvSpPr>
        <cdr:cNvPr id="2" name="TextBox 1"/>
        <cdr:cNvSpPr txBox="1"/>
      </cdr:nvSpPr>
      <cdr:spPr>
        <a:xfrm xmlns:a="http://schemas.openxmlformats.org/drawingml/2006/main">
          <a:off x="50800" y="546100"/>
          <a:ext cx="1079500" cy="1295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0.01696</cdr:x>
      <cdr:y>0.25294</cdr:y>
    </cdr:from>
    <cdr:to>
      <cdr:x>0.1187</cdr:x>
      <cdr:y>0.89412</cdr:y>
    </cdr:to>
    <cdr:sp macro="" textlink="">
      <cdr:nvSpPr>
        <cdr:cNvPr id="3" name="TextBox 2"/>
        <cdr:cNvSpPr txBox="1"/>
      </cdr:nvSpPr>
      <cdr:spPr>
        <a:xfrm xmlns:a="http://schemas.openxmlformats.org/drawingml/2006/main">
          <a:off x="139700" y="546100"/>
          <a:ext cx="838200" cy="1384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n-US" sz="900">
              <a:latin typeface="Century Gothic" panose="020B0502020202020204" pitchFamily="34" charset="0"/>
              <a:ea typeface="Arial" charset="0"/>
              <a:cs typeface="Arial" charset="0"/>
            </a:rPr>
            <a:t>PENDING</a:t>
          </a:r>
          <a:r>
            <a:rPr lang="en-US" sz="900" baseline="0">
              <a:latin typeface="Century Gothic" panose="020B0502020202020204" pitchFamily="34" charset="0"/>
              <a:ea typeface="Arial" charset="0"/>
              <a:cs typeface="Arial" charset="0"/>
            </a:rPr>
            <a:t> ACTIONS</a:t>
          </a:r>
        </a:p>
        <a:p xmlns:a="http://schemas.openxmlformats.org/drawingml/2006/main">
          <a:pPr algn="r"/>
          <a:endParaRPr lang="en-US" sz="900" baseline="0">
            <a:latin typeface="Century Gothic" panose="020B0502020202020204" pitchFamily="34" charset="0"/>
            <a:ea typeface="Arial" charset="0"/>
            <a:cs typeface="Arial" charset="0"/>
          </a:endParaRPr>
        </a:p>
        <a:p xmlns:a="http://schemas.openxmlformats.org/drawingml/2006/main">
          <a:pPr algn="r"/>
          <a:endParaRPr lang="en-US" sz="900" baseline="0">
            <a:latin typeface="Century Gothic" panose="020B0502020202020204" pitchFamily="34" charset="0"/>
            <a:ea typeface="Arial" charset="0"/>
            <a:cs typeface="Arial" charset="0"/>
          </a:endParaRPr>
        </a:p>
        <a:p xmlns:a="http://schemas.openxmlformats.org/drawingml/2006/main">
          <a:pPr algn="r"/>
          <a:r>
            <a:rPr lang="en-US" sz="900" baseline="0">
              <a:latin typeface="Century Gothic" panose="020B0502020202020204" pitchFamily="34" charset="0"/>
              <a:ea typeface="Arial" charset="0"/>
              <a:cs typeface="Arial" charset="0"/>
            </a:rPr>
            <a:t>REVISIONS</a:t>
          </a:r>
        </a:p>
        <a:p xmlns:a="http://schemas.openxmlformats.org/drawingml/2006/main">
          <a:pPr algn="r"/>
          <a:endParaRPr lang="en-US" sz="900" baseline="0">
            <a:latin typeface="Century Gothic" panose="020B0502020202020204" pitchFamily="34" charset="0"/>
            <a:ea typeface="Arial" charset="0"/>
            <a:cs typeface="Arial" charset="0"/>
          </a:endParaRPr>
        </a:p>
        <a:p xmlns:a="http://schemas.openxmlformats.org/drawingml/2006/main">
          <a:pPr algn="r"/>
          <a:endParaRPr lang="en-US" sz="900" baseline="0">
            <a:latin typeface="Century Gothic" panose="020B0502020202020204" pitchFamily="34" charset="0"/>
            <a:ea typeface="Arial" charset="0"/>
            <a:cs typeface="Arial" charset="0"/>
          </a:endParaRPr>
        </a:p>
        <a:p xmlns:a="http://schemas.openxmlformats.org/drawingml/2006/main">
          <a:pPr algn="r"/>
          <a:r>
            <a:rPr lang="en-US" sz="900" baseline="0">
              <a:latin typeface="Century Gothic" panose="020B0502020202020204" pitchFamily="34" charset="0"/>
              <a:ea typeface="Arial" charset="0"/>
              <a:cs typeface="Arial" charset="0"/>
            </a:rPr>
            <a:t>OPEN ISSUES</a:t>
          </a:r>
          <a:endParaRPr lang="en-US" sz="900">
            <a:latin typeface="Century Gothic" panose="020B0502020202020204" pitchFamily="34" charset="0"/>
            <a:ea typeface="Arial" charset="0"/>
            <a:cs typeface="Arial"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1</xdr:col>
      <xdr:colOff>0</xdr:colOff>
      <xdr:row>3</xdr:row>
      <xdr:rowOff>127000</xdr:rowOff>
    </xdr:from>
    <xdr:to>
      <xdr:col>7</xdr:col>
      <xdr:colOff>617220</xdr:colOff>
      <xdr:row>3</xdr:row>
      <xdr:rowOff>4838700</xdr:rowOff>
    </xdr:to>
    <xdr:graphicFrame macro="">
      <xdr:nvGraphicFramePr>
        <xdr:cNvPr id="2" name="Chart 1">
          <a:extLst>
            <a:ext uri="{FF2B5EF4-FFF2-40B4-BE49-F238E27FC236}">
              <a16:creationId xmlns:a16="http://schemas.microsoft.com/office/drawing/2014/main" id="{76163BAF-A7E3-8542-B2E3-030E24E6A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4</xdr:row>
      <xdr:rowOff>38100</xdr:rowOff>
    </xdr:from>
    <xdr:to>
      <xdr:col>7</xdr:col>
      <xdr:colOff>601980</xdr:colOff>
      <xdr:row>4</xdr:row>
      <xdr:rowOff>3604260</xdr:rowOff>
    </xdr:to>
    <xdr:graphicFrame macro="">
      <xdr:nvGraphicFramePr>
        <xdr:cNvPr id="3" name="Chart 2">
          <a:extLst>
            <a:ext uri="{FF2B5EF4-FFF2-40B4-BE49-F238E27FC236}">
              <a16:creationId xmlns:a16="http://schemas.microsoft.com/office/drawing/2014/main" id="{6187E261-A487-0A40-AF68-A7B4E0D89A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708658</xdr:colOff>
      <xdr:row>3</xdr:row>
      <xdr:rowOff>3505200</xdr:rowOff>
    </xdr:from>
    <xdr:to>
      <xdr:col>16</xdr:col>
      <xdr:colOff>57150</xdr:colOff>
      <xdr:row>4</xdr:row>
      <xdr:rowOff>3596640</xdr:rowOff>
    </xdr:to>
    <xdr:graphicFrame macro="">
      <xdr:nvGraphicFramePr>
        <xdr:cNvPr id="4" name="Chart 3">
          <a:extLst>
            <a:ext uri="{FF2B5EF4-FFF2-40B4-BE49-F238E27FC236}">
              <a16:creationId xmlns:a16="http://schemas.microsoft.com/office/drawing/2014/main" id="{1649C195-BE79-3B4A-85D0-B1A282540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11</xdr:row>
      <xdr:rowOff>76200</xdr:rowOff>
    </xdr:from>
    <xdr:to>
      <xdr:col>10</xdr:col>
      <xdr:colOff>809244</xdr:colOff>
      <xdr:row>11</xdr:row>
      <xdr:rowOff>2882900</xdr:rowOff>
    </xdr:to>
    <xdr:graphicFrame macro="">
      <xdr:nvGraphicFramePr>
        <xdr:cNvPr id="6" name="Chart 5">
          <a:extLst>
            <a:ext uri="{FF2B5EF4-FFF2-40B4-BE49-F238E27FC236}">
              <a16:creationId xmlns:a16="http://schemas.microsoft.com/office/drawing/2014/main" id="{811AA428-E67E-1F46-ACEF-8CE82509E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13</xdr:row>
      <xdr:rowOff>63500</xdr:rowOff>
    </xdr:from>
    <xdr:to>
      <xdr:col>10</xdr:col>
      <xdr:colOff>809244</xdr:colOff>
      <xdr:row>14</xdr:row>
      <xdr:rowOff>0</xdr:rowOff>
    </xdr:to>
    <xdr:graphicFrame macro="">
      <xdr:nvGraphicFramePr>
        <xdr:cNvPr id="7" name="Chart 6">
          <a:extLst>
            <a:ext uri="{FF2B5EF4-FFF2-40B4-BE49-F238E27FC236}">
              <a16:creationId xmlns:a16="http://schemas.microsoft.com/office/drawing/2014/main" id="{79666907-5F9D-BD4A-8E07-3F972E44B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6</xdr:row>
      <xdr:rowOff>0</xdr:rowOff>
    </xdr:from>
    <xdr:to>
      <xdr:col>11</xdr:col>
      <xdr:colOff>144780</xdr:colOff>
      <xdr:row>6</xdr:row>
      <xdr:rowOff>4502728</xdr:rowOff>
    </xdr:to>
    <xdr:graphicFrame macro="">
      <xdr:nvGraphicFramePr>
        <xdr:cNvPr id="10" name="Chart 9">
          <a:extLst>
            <a:ext uri="{FF2B5EF4-FFF2-40B4-BE49-F238E27FC236}">
              <a16:creationId xmlns:a16="http://schemas.microsoft.com/office/drawing/2014/main" id="{AC00868D-9587-49C4-AF2D-7D2E2751EE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7</xdr:row>
      <xdr:rowOff>0</xdr:rowOff>
    </xdr:from>
    <xdr:to>
      <xdr:col>14</xdr:col>
      <xdr:colOff>694182</xdr:colOff>
      <xdr:row>7</xdr:row>
      <xdr:rowOff>2133600</xdr:rowOff>
    </xdr:to>
    <xdr:graphicFrame macro="">
      <xdr:nvGraphicFramePr>
        <xdr:cNvPr id="15" name="Chart 14">
          <a:extLst>
            <a:ext uri="{FF2B5EF4-FFF2-40B4-BE49-F238E27FC236}">
              <a16:creationId xmlns:a16="http://schemas.microsoft.com/office/drawing/2014/main" id="{D778E825-3FDC-4107-B61B-A7645FAE3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0.00617</cdr:x>
      <cdr:y>0.25294</cdr:y>
    </cdr:from>
    <cdr:to>
      <cdr:x>0.13719</cdr:x>
      <cdr:y>0.85294</cdr:y>
    </cdr:to>
    <cdr:sp macro="" textlink="">
      <cdr:nvSpPr>
        <cdr:cNvPr id="2" name="TextBox 1"/>
        <cdr:cNvSpPr txBox="1"/>
      </cdr:nvSpPr>
      <cdr:spPr>
        <a:xfrm xmlns:a="http://schemas.openxmlformats.org/drawingml/2006/main">
          <a:off x="50800" y="546100"/>
          <a:ext cx="1079500" cy="1295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0.01696</cdr:x>
      <cdr:y>0.25294</cdr:y>
    </cdr:from>
    <cdr:to>
      <cdr:x>0.1187</cdr:x>
      <cdr:y>0.89412</cdr:y>
    </cdr:to>
    <cdr:sp macro="" textlink="">
      <cdr:nvSpPr>
        <cdr:cNvPr id="3" name="TextBox 2"/>
        <cdr:cNvSpPr txBox="1"/>
      </cdr:nvSpPr>
      <cdr:spPr>
        <a:xfrm xmlns:a="http://schemas.openxmlformats.org/drawingml/2006/main">
          <a:off x="139700" y="546100"/>
          <a:ext cx="838200" cy="1384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algn="r" defTabSz="914400" eaLnBrk="1" fontAlgn="auto" latinLnBrk="0" hangingPunct="1">
            <a:lnSpc>
              <a:spcPct val="100000"/>
            </a:lnSpc>
            <a:spcBef>
              <a:spcPts val="0"/>
            </a:spcBef>
            <a:spcAft>
              <a:spcPts val="0"/>
            </a:spcAft>
            <a:buClrTx/>
            <a:buSzTx/>
            <a:buFontTx/>
            <a:buNone/>
            <a:tabLst/>
            <a:defRPr/>
          </a:pPr>
          <a:r>
            <a:rPr lang="en-US" sz="1100" baseline="0">
              <a:effectLst/>
              <a:latin typeface="+mn-lt"/>
              <a:ea typeface="+mn-ea"/>
              <a:cs typeface="+mn-cs"/>
            </a:rPr>
            <a:t>COMPLETED / CLOSED</a:t>
          </a:r>
          <a:endParaRPr lang="en-GB" sz="900">
            <a:effectLst/>
          </a:endParaRPr>
        </a:p>
        <a:p xmlns:a="http://schemas.openxmlformats.org/drawingml/2006/main">
          <a:pPr algn="r"/>
          <a:endParaRPr lang="en-US" sz="900" baseline="0">
            <a:latin typeface="Century Gothic" panose="020B0502020202020204" pitchFamily="34" charset="0"/>
            <a:ea typeface="Arial" charset="0"/>
            <a:cs typeface="Arial" charset="0"/>
          </a:endParaRPr>
        </a:p>
        <a:p xmlns:a="http://schemas.openxmlformats.org/drawingml/2006/main">
          <a:pPr algn="r"/>
          <a:r>
            <a:rPr lang="en-US" sz="900" baseline="0">
              <a:latin typeface="Century Gothic" panose="020B0502020202020204" pitchFamily="34" charset="0"/>
              <a:ea typeface="Arial" charset="0"/>
              <a:cs typeface="Arial" charset="0"/>
            </a:rPr>
            <a:t>PENDING</a:t>
          </a:r>
        </a:p>
        <a:p xmlns:a="http://schemas.openxmlformats.org/drawingml/2006/main">
          <a:pPr algn="r"/>
          <a:endParaRPr lang="en-US" sz="900" baseline="0">
            <a:latin typeface="Century Gothic" panose="020B0502020202020204" pitchFamily="34" charset="0"/>
            <a:ea typeface="Arial" charset="0"/>
            <a:cs typeface="Arial" charset="0"/>
          </a:endParaRPr>
        </a:p>
        <a:p xmlns:a="http://schemas.openxmlformats.org/drawingml/2006/main">
          <a:pPr algn="r"/>
          <a:endParaRPr lang="en-US" sz="900" baseline="0">
            <a:latin typeface="Century Gothic" panose="020B0502020202020204" pitchFamily="34" charset="0"/>
            <a:ea typeface="Arial" charset="0"/>
            <a:cs typeface="Arial" charset="0"/>
          </a:endParaRPr>
        </a:p>
        <a:p xmlns:a="http://schemas.openxmlformats.org/drawingml/2006/main">
          <a:pPr algn="r"/>
          <a:r>
            <a:rPr lang="en-US" sz="900" baseline="0">
              <a:latin typeface="Century Gothic" panose="020B0502020202020204" pitchFamily="34" charset="0"/>
              <a:ea typeface="Arial" charset="0"/>
              <a:cs typeface="Arial" charset="0"/>
            </a:rPr>
            <a:t>INPROGRESS</a:t>
          </a:r>
          <a:endParaRPr lang="en-US" sz="900">
            <a:latin typeface="Century Gothic" panose="020B0502020202020204" pitchFamily="34" charset="0"/>
            <a:ea typeface="Arial" charset="0"/>
            <a:cs typeface="Arial" charset="0"/>
          </a:endParaRPr>
        </a:p>
      </cdr:txBody>
    </cdr: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IC-Service-Marketing-Plan-Template25"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IC-Business-Meeting-Agenda-Template33"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vice Marketing Plan"/>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siness Meeting Agenda"/>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smartsheet.com/try-it?trp=12400&amp;utm_source=template-excel&amp;utm_medium=content&amp;utm_campaign=SE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8" tint="0.59999389629810485"/>
    <pageSetUpPr fitToPage="1"/>
  </sheetPr>
  <dimension ref="A1:DN57"/>
  <sheetViews>
    <sheetView showGridLines="0" workbookViewId="0">
      <pane ySplit="1" topLeftCell="A5" activePane="bottomLeft" state="frozen"/>
      <selection pane="bottomLeft" activeCell="B66" sqref="B66"/>
    </sheetView>
  </sheetViews>
  <sheetFormatPr defaultColWidth="10.8984375" defaultRowHeight="15" x14ac:dyDescent="0.25"/>
  <cols>
    <col min="1" max="1" width="3.3984375" style="1" customWidth="1"/>
    <col min="2" max="2" width="20.8984375" style="1" customWidth="1"/>
    <col min="3" max="3" width="10.8984375" style="1"/>
    <col min="4" max="8" width="12" style="1" customWidth="1"/>
    <col min="9" max="16" width="10.8984375" style="1"/>
    <col min="17" max="17" width="3.3984375" style="1" customWidth="1"/>
    <col min="18" max="16384" width="10.8984375" style="1"/>
  </cols>
  <sheetData>
    <row r="1" spans="2:118" ht="186.9" customHeight="1" x14ac:dyDescent="0.25"/>
    <row r="2" spans="2:118" s="31" customFormat="1" ht="45" customHeight="1" x14ac:dyDescent="0.3">
      <c r="B2" s="44" t="s">
        <v>46</v>
      </c>
      <c r="C2" s="32"/>
      <c r="D2" s="33"/>
      <c r="E2" s="33"/>
      <c r="F2" s="34"/>
      <c r="G2" s="33"/>
      <c r="H2" s="33"/>
      <c r="I2" s="33"/>
      <c r="J2" s="33"/>
      <c r="K2" s="33"/>
      <c r="L2" s="33"/>
      <c r="M2" s="34"/>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c r="CW2" s="33"/>
      <c r="CX2" s="33"/>
      <c r="CY2" s="33"/>
      <c r="CZ2" s="33"/>
      <c r="DA2" s="33"/>
      <c r="DB2" s="33"/>
      <c r="DC2" s="33"/>
      <c r="DD2" s="33"/>
      <c r="DE2" s="33"/>
      <c r="DF2" s="33"/>
      <c r="DG2" s="33"/>
      <c r="DH2" s="33"/>
      <c r="DI2" s="33"/>
      <c r="DJ2" s="33"/>
      <c r="DK2" s="33"/>
      <c r="DL2" s="33"/>
      <c r="DM2" s="33"/>
      <c r="DN2" s="33"/>
    </row>
    <row r="3" spans="2:118" ht="24" customHeight="1" x14ac:dyDescent="0.25">
      <c r="B3" s="40" t="s">
        <v>34</v>
      </c>
      <c r="C3" s="40"/>
      <c r="D3" s="40"/>
      <c r="E3" s="40"/>
      <c r="F3" s="40"/>
      <c r="G3" s="40"/>
      <c r="H3" s="40"/>
      <c r="I3" s="40"/>
      <c r="J3" s="40"/>
      <c r="K3" s="40"/>
    </row>
    <row r="4" spans="2:118" ht="387" customHeight="1" x14ac:dyDescent="0.25">
      <c r="B4" s="3"/>
    </row>
    <row r="5" spans="2:118" ht="290.10000000000002" customHeight="1" x14ac:dyDescent="0.25"/>
    <row r="7" spans="2:118" ht="24" customHeight="1" x14ac:dyDescent="0.25">
      <c r="B7" s="40" t="s">
        <v>33</v>
      </c>
      <c r="C7" s="40"/>
      <c r="D7" s="40"/>
      <c r="E7" s="40"/>
      <c r="F7" s="40"/>
      <c r="G7" s="40"/>
      <c r="H7" s="40"/>
      <c r="I7" s="40"/>
      <c r="J7" s="40"/>
      <c r="K7" s="40"/>
    </row>
    <row r="8" spans="2:118" ht="383.1" customHeight="1" x14ac:dyDescent="0.25"/>
    <row r="10" spans="2:118" ht="24" customHeight="1" x14ac:dyDescent="0.25">
      <c r="B10" s="40" t="s">
        <v>35</v>
      </c>
      <c r="C10" s="40"/>
      <c r="D10" s="40"/>
      <c r="E10" s="40"/>
      <c r="F10" s="40"/>
      <c r="G10" s="40"/>
      <c r="H10" s="40"/>
      <c r="I10" s="40"/>
      <c r="J10" s="40"/>
      <c r="K10" s="40"/>
    </row>
    <row r="11" spans="2:118" ht="228" customHeight="1" x14ac:dyDescent="0.25"/>
    <row r="13" spans="2:118" ht="183" customHeight="1" x14ac:dyDescent="0.25"/>
    <row r="15" spans="2:118" ht="24" customHeight="1" x14ac:dyDescent="0.25">
      <c r="B15" s="40" t="s">
        <v>36</v>
      </c>
      <c r="C15" s="40"/>
      <c r="D15" s="40"/>
      <c r="E15" s="40"/>
      <c r="F15" s="40"/>
      <c r="G15" s="40"/>
      <c r="H15" s="40"/>
      <c r="I15" s="40"/>
      <c r="J15" s="40"/>
      <c r="K15" s="40"/>
    </row>
    <row r="16" spans="2:118" ht="227.1" customHeight="1" x14ac:dyDescent="0.25"/>
    <row r="18" spans="2:11" ht="177" customHeight="1" x14ac:dyDescent="0.25"/>
    <row r="20" spans="2:11" ht="24" customHeight="1" x14ac:dyDescent="0.25">
      <c r="B20" s="40" t="s">
        <v>37</v>
      </c>
      <c r="C20" s="40"/>
      <c r="D20" s="40"/>
      <c r="E20" s="40"/>
      <c r="F20" s="40"/>
      <c r="G20" s="40"/>
      <c r="H20" s="40"/>
      <c r="I20" s="40"/>
      <c r="J20" s="40"/>
      <c r="K20" s="40"/>
    </row>
    <row r="21" spans="2:11" ht="6.9" customHeight="1" x14ac:dyDescent="0.25">
      <c r="B21" s="4"/>
      <c r="C21" s="4"/>
      <c r="D21" s="4"/>
      <c r="E21" s="4"/>
      <c r="F21" s="4"/>
      <c r="G21" s="4"/>
      <c r="H21" s="4"/>
      <c r="I21" s="4"/>
      <c r="J21" s="4"/>
      <c r="K21" s="4"/>
    </row>
    <row r="22" spans="2:11" ht="18" customHeight="1" x14ac:dyDescent="0.25">
      <c r="B22" s="28" t="s">
        <v>0</v>
      </c>
      <c r="C22" s="10" t="s">
        <v>38</v>
      </c>
      <c r="D22" s="10" t="s">
        <v>14</v>
      </c>
      <c r="E22" s="10" t="s">
        <v>39</v>
      </c>
      <c r="F22" s="10" t="s">
        <v>2</v>
      </c>
      <c r="G22" s="10" t="s">
        <v>7</v>
      </c>
      <c r="H22" s="197" t="s">
        <v>40</v>
      </c>
      <c r="I22" s="197"/>
      <c r="J22" s="197"/>
      <c r="K22" s="197"/>
    </row>
    <row r="23" spans="2:11" ht="18" customHeight="1" x14ac:dyDescent="0.25">
      <c r="B23" s="29" t="s">
        <v>18</v>
      </c>
      <c r="C23" s="30"/>
      <c r="D23" s="30"/>
      <c r="E23" s="30"/>
      <c r="F23" s="30"/>
      <c r="G23" s="30"/>
      <c r="H23" s="186"/>
      <c r="I23" s="187"/>
      <c r="J23" s="187"/>
      <c r="K23" s="188"/>
    </row>
    <row r="24" spans="2:11" ht="18" customHeight="1" x14ac:dyDescent="0.25">
      <c r="B24" s="29" t="s">
        <v>19</v>
      </c>
      <c r="C24" s="30"/>
      <c r="D24" s="30"/>
      <c r="E24" s="30"/>
      <c r="F24" s="30"/>
      <c r="G24" s="30"/>
      <c r="H24" s="186"/>
      <c r="I24" s="187"/>
      <c r="J24" s="187"/>
      <c r="K24" s="188"/>
    </row>
    <row r="25" spans="2:11" ht="18" customHeight="1" x14ac:dyDescent="0.25">
      <c r="B25" s="29" t="s">
        <v>20</v>
      </c>
      <c r="C25" s="30"/>
      <c r="D25" s="30"/>
      <c r="E25" s="30"/>
      <c r="F25" s="30"/>
      <c r="G25" s="30"/>
      <c r="H25" s="186"/>
      <c r="I25" s="187"/>
      <c r="J25" s="187"/>
      <c r="K25" s="188"/>
    </row>
    <row r="26" spans="2:11" ht="18" customHeight="1" x14ac:dyDescent="0.25">
      <c r="B26" s="29" t="s">
        <v>21</v>
      </c>
      <c r="C26" s="30"/>
      <c r="D26" s="30"/>
      <c r="E26" s="30"/>
      <c r="F26" s="30"/>
      <c r="G26" s="30"/>
      <c r="H26" s="186"/>
      <c r="I26" s="187"/>
      <c r="J26" s="187"/>
      <c r="K26" s="188"/>
    </row>
    <row r="27" spans="2:11" ht="18" customHeight="1" x14ac:dyDescent="0.25">
      <c r="B27" s="29" t="s">
        <v>22</v>
      </c>
      <c r="C27" s="30"/>
      <c r="D27" s="30"/>
      <c r="E27" s="30"/>
      <c r="F27" s="30"/>
      <c r="G27" s="30"/>
      <c r="H27" s="186"/>
      <c r="I27" s="187"/>
      <c r="J27" s="187"/>
      <c r="K27" s="188"/>
    </row>
    <row r="28" spans="2:11" ht="18" customHeight="1" x14ac:dyDescent="0.25">
      <c r="B28" s="29" t="s">
        <v>23</v>
      </c>
      <c r="C28" s="30"/>
      <c r="D28" s="30"/>
      <c r="E28" s="30"/>
      <c r="F28" s="30"/>
      <c r="G28" s="30"/>
      <c r="H28" s="186"/>
      <c r="I28" s="187"/>
      <c r="J28" s="187"/>
      <c r="K28" s="188"/>
    </row>
    <row r="29" spans="2:11" ht="18" customHeight="1" x14ac:dyDescent="0.25">
      <c r="B29" s="29" t="s">
        <v>24</v>
      </c>
      <c r="C29" s="30"/>
      <c r="D29" s="30"/>
      <c r="E29" s="30"/>
      <c r="F29" s="30"/>
      <c r="G29" s="30"/>
      <c r="H29" s="186"/>
      <c r="I29" s="187"/>
      <c r="J29" s="187"/>
      <c r="K29" s="188"/>
    </row>
    <row r="30" spans="2:11" ht="18" customHeight="1" x14ac:dyDescent="0.25">
      <c r="B30" s="29" t="s">
        <v>25</v>
      </c>
      <c r="C30" s="30"/>
      <c r="D30" s="30"/>
      <c r="E30" s="30"/>
      <c r="F30" s="30"/>
      <c r="G30" s="30"/>
      <c r="H30" s="186"/>
      <c r="I30" s="187"/>
      <c r="J30" s="187"/>
      <c r="K30" s="188"/>
    </row>
    <row r="31" spans="2:11" ht="18" customHeight="1" x14ac:dyDescent="0.25">
      <c r="B31" s="29" t="s">
        <v>26</v>
      </c>
      <c r="C31" s="30"/>
      <c r="D31" s="30"/>
      <c r="E31" s="30"/>
      <c r="F31" s="30"/>
      <c r="G31" s="30"/>
      <c r="H31" s="186"/>
      <c r="I31" s="187"/>
      <c r="J31" s="187"/>
      <c r="K31" s="188"/>
    </row>
    <row r="32" spans="2:11" ht="18" customHeight="1" x14ac:dyDescent="0.25">
      <c r="B32" s="29" t="s">
        <v>27</v>
      </c>
      <c r="C32" s="30"/>
      <c r="D32" s="30"/>
      <c r="E32" s="30"/>
      <c r="F32" s="30"/>
      <c r="G32" s="30"/>
      <c r="H32" s="186"/>
      <c r="I32" s="187"/>
      <c r="J32" s="187"/>
      <c r="K32" s="188"/>
    </row>
    <row r="33" spans="1:20" ht="18" customHeight="1" x14ac:dyDescent="0.25">
      <c r="B33" s="29" t="s">
        <v>28</v>
      </c>
      <c r="C33" s="30"/>
      <c r="D33" s="30"/>
      <c r="E33" s="30"/>
      <c r="F33" s="30"/>
      <c r="G33" s="30"/>
      <c r="H33" s="186"/>
      <c r="I33" s="187"/>
      <c r="J33" s="187"/>
      <c r="K33" s="188"/>
    </row>
    <row r="34" spans="1:20" ht="18" customHeight="1" x14ac:dyDescent="0.25">
      <c r="B34" s="29" t="s">
        <v>29</v>
      </c>
      <c r="C34" s="30"/>
      <c r="D34" s="30"/>
      <c r="E34" s="30"/>
      <c r="F34" s="30"/>
      <c r="G34" s="30"/>
      <c r="H34" s="186"/>
      <c r="I34" s="187"/>
      <c r="J34" s="187"/>
      <c r="K34" s="188"/>
    </row>
    <row r="35" spans="1:20" ht="18" customHeight="1" x14ac:dyDescent="0.25">
      <c r="B35" s="29" t="s">
        <v>30</v>
      </c>
      <c r="C35" s="30"/>
      <c r="D35" s="30"/>
      <c r="E35" s="30"/>
      <c r="F35" s="30"/>
      <c r="G35" s="30"/>
      <c r="H35" s="186"/>
      <c r="I35" s="187"/>
      <c r="J35" s="187"/>
      <c r="K35" s="188"/>
    </row>
    <row r="36" spans="1:20" ht="18" customHeight="1" x14ac:dyDescent="0.25">
      <c r="B36" s="29" t="s">
        <v>31</v>
      </c>
      <c r="C36" s="30"/>
      <c r="D36" s="30"/>
      <c r="E36" s="30"/>
      <c r="F36" s="30"/>
      <c r="G36" s="30"/>
      <c r="H36" s="186"/>
      <c r="I36" s="187"/>
      <c r="J36" s="187"/>
      <c r="K36" s="188"/>
    </row>
    <row r="38" spans="1:20" ht="39.9" customHeight="1" x14ac:dyDescent="0.25">
      <c r="B38" s="39" t="s">
        <v>43</v>
      </c>
      <c r="G38" s="38"/>
    </row>
    <row r="39" spans="1:20" ht="57" customHeight="1" x14ac:dyDescent="0.25">
      <c r="A39" s="2"/>
      <c r="B39" s="193" t="s">
        <v>0</v>
      </c>
      <c r="C39" s="194" t="s">
        <v>10</v>
      </c>
      <c r="D39" s="194"/>
      <c r="E39" s="194"/>
      <c r="F39" s="194"/>
      <c r="G39" s="195" t="s">
        <v>1</v>
      </c>
      <c r="H39" s="192" t="s">
        <v>14</v>
      </c>
      <c r="I39" s="192"/>
      <c r="J39" s="192"/>
      <c r="K39" s="196" t="s">
        <v>2</v>
      </c>
      <c r="L39" s="196"/>
      <c r="M39" s="196"/>
      <c r="N39" s="190" t="s">
        <v>6</v>
      </c>
      <c r="O39" s="190"/>
      <c r="P39" s="191" t="s">
        <v>9</v>
      </c>
      <c r="Q39" s="2"/>
      <c r="R39" s="2"/>
      <c r="S39" s="2"/>
      <c r="T39" s="2"/>
    </row>
    <row r="40" spans="1:20" ht="15.9" customHeight="1" x14ac:dyDescent="0.25">
      <c r="A40" s="2"/>
      <c r="B40" s="193"/>
      <c r="C40" s="12" t="s">
        <v>32</v>
      </c>
      <c r="D40" s="12" t="s">
        <v>11</v>
      </c>
      <c r="E40" s="12" t="s">
        <v>12</v>
      </c>
      <c r="F40" s="12" t="s">
        <v>13</v>
      </c>
      <c r="G40" s="195"/>
      <c r="H40" s="13" t="s">
        <v>15</v>
      </c>
      <c r="I40" s="13" t="s">
        <v>16</v>
      </c>
      <c r="J40" s="13" t="s">
        <v>17</v>
      </c>
      <c r="K40" s="14" t="s">
        <v>3</v>
      </c>
      <c r="L40" s="14" t="s">
        <v>4</v>
      </c>
      <c r="M40" s="14" t="s">
        <v>5</v>
      </c>
      <c r="N40" s="15" t="s">
        <v>7</v>
      </c>
      <c r="O40" s="15" t="s">
        <v>8</v>
      </c>
      <c r="P40" s="191"/>
      <c r="Q40" s="2"/>
      <c r="R40" s="2"/>
      <c r="S40" s="2"/>
      <c r="T40" s="2"/>
    </row>
    <row r="41" spans="1:20" x14ac:dyDescent="0.25">
      <c r="A41" s="2"/>
      <c r="B41" s="11" t="s">
        <v>18</v>
      </c>
      <c r="C41" s="16">
        <v>45778</v>
      </c>
      <c r="D41" s="16">
        <v>45782</v>
      </c>
      <c r="E41" s="16">
        <v>45839</v>
      </c>
      <c r="F41" s="17">
        <f t="shared" ref="F41:F54" si="0">E41-D41</f>
        <v>57</v>
      </c>
      <c r="G41" s="17">
        <v>10</v>
      </c>
      <c r="H41" s="18">
        <v>1000000</v>
      </c>
      <c r="I41" s="18">
        <v>880000</v>
      </c>
      <c r="J41" s="18">
        <f t="shared" ref="J41:J54" si="1">(H41-I41)</f>
        <v>120000</v>
      </c>
      <c r="K41" s="19">
        <v>1</v>
      </c>
      <c r="L41" s="19">
        <v>0</v>
      </c>
      <c r="M41" s="19">
        <v>4</v>
      </c>
      <c r="N41" s="19">
        <v>2</v>
      </c>
      <c r="O41" s="19">
        <v>0</v>
      </c>
      <c r="P41" s="19">
        <v>4</v>
      </c>
      <c r="Q41" s="2"/>
      <c r="R41" s="2"/>
      <c r="S41" s="2"/>
      <c r="T41" s="2"/>
    </row>
    <row r="42" spans="1:20" x14ac:dyDescent="0.25">
      <c r="A42" s="2"/>
      <c r="B42" s="20" t="s">
        <v>19</v>
      </c>
      <c r="C42" s="21">
        <v>45809</v>
      </c>
      <c r="D42" s="21">
        <v>45787</v>
      </c>
      <c r="E42" s="21">
        <v>45879</v>
      </c>
      <c r="F42" s="22">
        <f t="shared" si="0"/>
        <v>92</v>
      </c>
      <c r="G42" s="23">
        <v>5</v>
      </c>
      <c r="H42" s="24">
        <v>900000</v>
      </c>
      <c r="I42" s="24">
        <v>920000</v>
      </c>
      <c r="J42" s="24">
        <f t="shared" si="1"/>
        <v>-20000</v>
      </c>
      <c r="K42" s="25">
        <v>2</v>
      </c>
      <c r="L42" s="25">
        <v>3</v>
      </c>
      <c r="M42" s="25">
        <v>5</v>
      </c>
      <c r="N42" s="26">
        <v>1</v>
      </c>
      <c r="O42" s="26">
        <v>2</v>
      </c>
      <c r="P42" s="27">
        <v>3</v>
      </c>
      <c r="Q42" s="2"/>
      <c r="R42" s="2"/>
      <c r="S42" s="2"/>
      <c r="T42" s="2"/>
    </row>
    <row r="43" spans="1:20" x14ac:dyDescent="0.25">
      <c r="A43" s="2"/>
      <c r="B43" s="11" t="s">
        <v>20</v>
      </c>
      <c r="C43" s="16">
        <v>45839</v>
      </c>
      <c r="D43" s="16">
        <v>45818</v>
      </c>
      <c r="E43" s="16">
        <v>46082</v>
      </c>
      <c r="F43" s="17">
        <f t="shared" si="0"/>
        <v>264</v>
      </c>
      <c r="G43" s="17">
        <v>10</v>
      </c>
      <c r="H43" s="18">
        <v>860000</v>
      </c>
      <c r="I43" s="18">
        <v>850000</v>
      </c>
      <c r="J43" s="18">
        <f t="shared" si="1"/>
        <v>10000</v>
      </c>
      <c r="K43" s="19">
        <v>3</v>
      </c>
      <c r="L43" s="19">
        <v>4</v>
      </c>
      <c r="M43" s="19">
        <v>3</v>
      </c>
      <c r="N43" s="19">
        <v>2</v>
      </c>
      <c r="O43" s="19">
        <v>1</v>
      </c>
      <c r="P43" s="19">
        <v>2</v>
      </c>
      <c r="Q43" s="2"/>
      <c r="R43" s="2"/>
      <c r="S43" s="2"/>
      <c r="T43" s="2"/>
    </row>
    <row r="44" spans="1:20" x14ac:dyDescent="0.25">
      <c r="A44" s="2"/>
      <c r="B44" s="20" t="s">
        <v>21</v>
      </c>
      <c r="C44" s="21">
        <v>45870</v>
      </c>
      <c r="D44" s="21">
        <v>45830</v>
      </c>
      <c r="E44" s="21">
        <v>45873</v>
      </c>
      <c r="F44" s="22">
        <f t="shared" si="0"/>
        <v>43</v>
      </c>
      <c r="G44" s="23">
        <v>5</v>
      </c>
      <c r="H44" s="24">
        <v>1000000</v>
      </c>
      <c r="I44" s="24">
        <v>998050</v>
      </c>
      <c r="J44" s="24">
        <f t="shared" si="1"/>
        <v>1950</v>
      </c>
      <c r="K44" s="25">
        <v>5</v>
      </c>
      <c r="L44" s="25">
        <v>8</v>
      </c>
      <c r="M44" s="25">
        <v>1</v>
      </c>
      <c r="N44" s="26">
        <v>1</v>
      </c>
      <c r="O44" s="26">
        <v>0</v>
      </c>
      <c r="P44" s="27">
        <v>0</v>
      </c>
      <c r="Q44" s="2"/>
      <c r="R44" s="2"/>
      <c r="S44" s="2"/>
      <c r="T44" s="2"/>
    </row>
    <row r="45" spans="1:20" x14ac:dyDescent="0.25">
      <c r="A45" s="2"/>
      <c r="B45" s="11" t="s">
        <v>22</v>
      </c>
      <c r="C45" s="16">
        <v>45901</v>
      </c>
      <c r="D45" s="16">
        <v>45852</v>
      </c>
      <c r="E45" s="16">
        <v>45962</v>
      </c>
      <c r="F45" s="17">
        <f t="shared" si="0"/>
        <v>110</v>
      </c>
      <c r="G45" s="17">
        <v>10</v>
      </c>
      <c r="H45" s="18">
        <v>294000</v>
      </c>
      <c r="I45" s="18">
        <v>280000</v>
      </c>
      <c r="J45" s="18">
        <f t="shared" si="1"/>
        <v>14000</v>
      </c>
      <c r="K45" s="19">
        <v>8</v>
      </c>
      <c r="L45" s="19">
        <v>6</v>
      </c>
      <c r="M45" s="19">
        <v>4</v>
      </c>
      <c r="N45" s="19">
        <v>0</v>
      </c>
      <c r="O45" s="19">
        <v>3</v>
      </c>
      <c r="P45" s="19">
        <v>1</v>
      </c>
      <c r="Q45" s="2"/>
      <c r="R45" s="2"/>
      <c r="S45" s="2"/>
      <c r="T45" s="2"/>
    </row>
    <row r="46" spans="1:20" x14ac:dyDescent="0.25">
      <c r="A46" s="2"/>
      <c r="B46" s="20" t="s">
        <v>23</v>
      </c>
      <c r="C46" s="21">
        <v>45931</v>
      </c>
      <c r="D46" s="21">
        <v>45852</v>
      </c>
      <c r="E46" s="21">
        <v>46042</v>
      </c>
      <c r="F46" s="22">
        <f t="shared" si="0"/>
        <v>190</v>
      </c>
      <c r="G46" s="23">
        <v>5</v>
      </c>
      <c r="H46" s="24">
        <v>123400</v>
      </c>
      <c r="I46" s="24">
        <v>125000</v>
      </c>
      <c r="J46" s="24">
        <f t="shared" si="1"/>
        <v>-1600</v>
      </c>
      <c r="K46" s="25">
        <v>5</v>
      </c>
      <c r="L46" s="25">
        <v>0</v>
      </c>
      <c r="M46" s="25">
        <v>0</v>
      </c>
      <c r="N46" s="26">
        <v>2</v>
      </c>
      <c r="O46" s="26">
        <v>0</v>
      </c>
      <c r="P46" s="27">
        <v>2</v>
      </c>
      <c r="Q46" s="2"/>
      <c r="R46" s="2"/>
      <c r="S46" s="2"/>
      <c r="T46" s="2"/>
    </row>
    <row r="47" spans="1:20" x14ac:dyDescent="0.25">
      <c r="A47" s="2"/>
      <c r="B47" s="11" t="s">
        <v>24</v>
      </c>
      <c r="C47" s="16">
        <v>45962</v>
      </c>
      <c r="D47" s="16">
        <v>45870</v>
      </c>
      <c r="E47" s="16">
        <v>45931</v>
      </c>
      <c r="F47" s="17">
        <f t="shared" si="0"/>
        <v>61</v>
      </c>
      <c r="G47" s="17">
        <v>10</v>
      </c>
      <c r="H47" s="18">
        <v>250500</v>
      </c>
      <c r="I47" s="18">
        <v>246000</v>
      </c>
      <c r="J47" s="18">
        <f t="shared" si="1"/>
        <v>4500</v>
      </c>
      <c r="K47" s="19">
        <v>6</v>
      </c>
      <c r="L47" s="19">
        <v>4</v>
      </c>
      <c r="M47" s="19">
        <v>0</v>
      </c>
      <c r="N47" s="19">
        <v>1</v>
      </c>
      <c r="O47" s="19">
        <v>2</v>
      </c>
      <c r="P47" s="19">
        <v>3</v>
      </c>
      <c r="Q47" s="2"/>
      <c r="R47" s="2"/>
      <c r="S47" s="2"/>
      <c r="T47" s="2"/>
    </row>
    <row r="48" spans="1:20" x14ac:dyDescent="0.25">
      <c r="A48" s="2"/>
      <c r="B48" s="20" t="s">
        <v>25</v>
      </c>
      <c r="C48" s="21">
        <v>45992</v>
      </c>
      <c r="D48" s="21">
        <v>45883</v>
      </c>
      <c r="E48" s="21">
        <v>45899</v>
      </c>
      <c r="F48" s="22">
        <f t="shared" si="0"/>
        <v>16</v>
      </c>
      <c r="G48" s="23">
        <v>5</v>
      </c>
      <c r="H48" s="24">
        <v>127200</v>
      </c>
      <c r="I48" s="24">
        <v>126000</v>
      </c>
      <c r="J48" s="24">
        <f t="shared" si="1"/>
        <v>1200</v>
      </c>
      <c r="K48" s="25">
        <v>7</v>
      </c>
      <c r="L48" s="25">
        <v>3</v>
      </c>
      <c r="M48" s="25">
        <v>3</v>
      </c>
      <c r="N48" s="26">
        <v>0</v>
      </c>
      <c r="O48" s="26">
        <v>1</v>
      </c>
      <c r="P48" s="27">
        <v>4</v>
      </c>
      <c r="Q48" s="2"/>
      <c r="R48" s="2"/>
      <c r="S48" s="2"/>
      <c r="T48" s="2"/>
    </row>
    <row r="49" spans="1:20" x14ac:dyDescent="0.25">
      <c r="A49" s="2"/>
      <c r="B49" s="11" t="s">
        <v>26</v>
      </c>
      <c r="C49" s="16">
        <v>46023</v>
      </c>
      <c r="D49" s="16">
        <v>45901</v>
      </c>
      <c r="E49" s="16">
        <v>46001</v>
      </c>
      <c r="F49" s="17">
        <f t="shared" si="0"/>
        <v>100</v>
      </c>
      <c r="G49" s="17">
        <v>10</v>
      </c>
      <c r="H49" s="18">
        <v>80000</v>
      </c>
      <c r="I49" s="18">
        <v>79900</v>
      </c>
      <c r="J49" s="18">
        <f t="shared" si="1"/>
        <v>100</v>
      </c>
      <c r="K49" s="19">
        <v>0</v>
      </c>
      <c r="L49" s="19">
        <v>2</v>
      </c>
      <c r="M49" s="19">
        <v>4</v>
      </c>
      <c r="N49" s="19">
        <v>1</v>
      </c>
      <c r="O49" s="19">
        <v>3</v>
      </c>
      <c r="P49" s="19">
        <v>2</v>
      </c>
      <c r="Q49" s="2"/>
      <c r="R49" s="2"/>
      <c r="S49" s="2"/>
      <c r="T49" s="2"/>
    </row>
    <row r="50" spans="1:20" x14ac:dyDescent="0.25">
      <c r="A50" s="2"/>
      <c r="B50" s="20" t="s">
        <v>27</v>
      </c>
      <c r="C50" s="21">
        <v>46054</v>
      </c>
      <c r="D50" s="21">
        <v>45931</v>
      </c>
      <c r="E50" s="21">
        <v>45976</v>
      </c>
      <c r="F50" s="22">
        <f t="shared" si="0"/>
        <v>45</v>
      </c>
      <c r="G50" s="23">
        <v>5</v>
      </c>
      <c r="H50" s="24">
        <v>77000</v>
      </c>
      <c r="I50" s="24">
        <v>77000</v>
      </c>
      <c r="J50" s="24">
        <f t="shared" si="1"/>
        <v>0</v>
      </c>
      <c r="K50" s="25">
        <v>4</v>
      </c>
      <c r="L50" s="25">
        <v>4</v>
      </c>
      <c r="M50" s="25">
        <v>5</v>
      </c>
      <c r="N50" s="26">
        <v>2</v>
      </c>
      <c r="O50" s="26">
        <v>0</v>
      </c>
      <c r="P50" s="27">
        <v>0</v>
      </c>
      <c r="Q50" s="2"/>
      <c r="R50" s="2"/>
      <c r="S50" s="2"/>
      <c r="T50" s="2"/>
    </row>
    <row r="51" spans="1:20" x14ac:dyDescent="0.25">
      <c r="A51" s="2"/>
      <c r="B51" s="11" t="s">
        <v>28</v>
      </c>
      <c r="C51" s="16">
        <v>46082</v>
      </c>
      <c r="D51" s="16">
        <v>45931</v>
      </c>
      <c r="E51" s="16">
        <v>45992</v>
      </c>
      <c r="F51" s="17">
        <f t="shared" si="0"/>
        <v>61</v>
      </c>
      <c r="G51" s="17">
        <v>10</v>
      </c>
      <c r="H51" s="18">
        <v>65000</v>
      </c>
      <c r="I51" s="18">
        <v>65000</v>
      </c>
      <c r="J51" s="18">
        <f t="shared" si="1"/>
        <v>0</v>
      </c>
      <c r="K51" s="19">
        <v>3</v>
      </c>
      <c r="L51" s="19">
        <v>6</v>
      </c>
      <c r="M51" s="19">
        <v>4</v>
      </c>
      <c r="N51" s="19">
        <v>3</v>
      </c>
      <c r="O51" s="19">
        <v>2</v>
      </c>
      <c r="P51" s="19">
        <v>0</v>
      </c>
      <c r="Q51" s="2"/>
      <c r="R51" s="2"/>
      <c r="S51" s="2"/>
      <c r="T51" s="2"/>
    </row>
    <row r="52" spans="1:20" x14ac:dyDescent="0.25">
      <c r="A52" s="2"/>
      <c r="B52" s="20" t="s">
        <v>29</v>
      </c>
      <c r="C52" s="21">
        <v>46113</v>
      </c>
      <c r="D52" s="21">
        <v>45962</v>
      </c>
      <c r="E52" s="21">
        <v>45992</v>
      </c>
      <c r="F52" s="22">
        <f t="shared" si="0"/>
        <v>30</v>
      </c>
      <c r="G52" s="23">
        <v>5</v>
      </c>
      <c r="H52" s="24">
        <v>550000</v>
      </c>
      <c r="I52" s="24">
        <v>551000</v>
      </c>
      <c r="J52" s="24">
        <f t="shared" si="1"/>
        <v>-1000</v>
      </c>
      <c r="K52" s="25">
        <v>2</v>
      </c>
      <c r="L52" s="25">
        <v>3</v>
      </c>
      <c r="M52" s="25">
        <v>6</v>
      </c>
      <c r="N52" s="26">
        <v>0</v>
      </c>
      <c r="O52" s="26">
        <v>1</v>
      </c>
      <c r="P52" s="27">
        <v>1</v>
      </c>
      <c r="Q52" s="2"/>
      <c r="R52" s="2"/>
      <c r="S52" s="2"/>
      <c r="T52" s="2"/>
    </row>
    <row r="53" spans="1:20" x14ac:dyDescent="0.25">
      <c r="A53" s="2"/>
      <c r="B53" s="11" t="s">
        <v>30</v>
      </c>
      <c r="C53" s="16">
        <v>46143</v>
      </c>
      <c r="D53" s="16">
        <v>45971</v>
      </c>
      <c r="E53" s="16">
        <v>46001</v>
      </c>
      <c r="F53" s="17">
        <f t="shared" si="0"/>
        <v>30</v>
      </c>
      <c r="G53" s="17">
        <v>10</v>
      </c>
      <c r="H53" s="18">
        <v>45000</v>
      </c>
      <c r="I53" s="18">
        <v>42000</v>
      </c>
      <c r="J53" s="18">
        <f t="shared" si="1"/>
        <v>3000</v>
      </c>
      <c r="K53" s="19">
        <v>1</v>
      </c>
      <c r="L53" s="19">
        <v>1</v>
      </c>
      <c r="M53" s="19">
        <v>7</v>
      </c>
      <c r="N53" s="19">
        <v>1</v>
      </c>
      <c r="O53" s="19">
        <v>0</v>
      </c>
      <c r="P53" s="19">
        <v>2</v>
      </c>
      <c r="Q53" s="2"/>
      <c r="R53" s="2"/>
      <c r="S53" s="2"/>
      <c r="T53" s="2"/>
    </row>
    <row r="54" spans="1:20" x14ac:dyDescent="0.25">
      <c r="A54" s="2"/>
      <c r="B54" s="20" t="s">
        <v>31</v>
      </c>
      <c r="C54" s="21">
        <v>46174</v>
      </c>
      <c r="D54" s="21">
        <v>45992</v>
      </c>
      <c r="E54" s="21">
        <v>46063</v>
      </c>
      <c r="F54" s="22">
        <f t="shared" si="0"/>
        <v>71</v>
      </c>
      <c r="G54" s="23">
        <v>5</v>
      </c>
      <c r="H54" s="24">
        <v>32500</v>
      </c>
      <c r="I54" s="24">
        <v>33000</v>
      </c>
      <c r="J54" s="24">
        <f t="shared" si="1"/>
        <v>-500</v>
      </c>
      <c r="K54" s="25">
        <v>5</v>
      </c>
      <c r="L54" s="25">
        <v>0</v>
      </c>
      <c r="M54" s="25">
        <v>2</v>
      </c>
      <c r="N54" s="26">
        <v>2</v>
      </c>
      <c r="O54" s="26">
        <v>1</v>
      </c>
      <c r="P54" s="27">
        <v>3</v>
      </c>
      <c r="Q54" s="2"/>
      <c r="R54" s="2"/>
      <c r="S54" s="2"/>
      <c r="T54" s="2"/>
    </row>
    <row r="55" spans="1:20" ht="23.1" customHeight="1" x14ac:dyDescent="0.25">
      <c r="A55" s="2"/>
      <c r="B55" s="2"/>
      <c r="C55" s="2"/>
      <c r="D55" s="2"/>
      <c r="E55" s="2"/>
      <c r="F55" s="2"/>
      <c r="G55" s="5"/>
      <c r="H55" s="6">
        <f t="shared" ref="H55:P55" si="2">SUM(H41:H54)</f>
        <v>5404600</v>
      </c>
      <c r="I55" s="6">
        <f t="shared" si="2"/>
        <v>5272950</v>
      </c>
      <c r="J55" s="6">
        <f t="shared" si="2"/>
        <v>131650</v>
      </c>
      <c r="K55" s="7">
        <f t="shared" si="2"/>
        <v>52</v>
      </c>
      <c r="L55" s="7">
        <f t="shared" si="2"/>
        <v>44</v>
      </c>
      <c r="M55" s="7">
        <f t="shared" si="2"/>
        <v>48</v>
      </c>
      <c r="N55" s="8">
        <f t="shared" si="2"/>
        <v>18</v>
      </c>
      <c r="O55" s="8">
        <f t="shared" si="2"/>
        <v>16</v>
      </c>
      <c r="P55" s="9">
        <f t="shared" si="2"/>
        <v>27</v>
      </c>
      <c r="Q55" s="2"/>
      <c r="R55" s="2"/>
      <c r="S55" s="2"/>
      <c r="T55" s="2"/>
    </row>
    <row r="57" spans="1:20" s="35" customFormat="1" ht="50.1" customHeight="1" x14ac:dyDescent="0.25">
      <c r="B57" s="189" t="s">
        <v>41</v>
      </c>
      <c r="C57" s="189"/>
      <c r="D57" s="189"/>
      <c r="E57" s="189"/>
      <c r="F57" s="189"/>
      <c r="G57" s="189"/>
      <c r="H57" s="189"/>
      <c r="I57" s="189"/>
      <c r="J57" s="189"/>
      <c r="K57" s="189"/>
      <c r="L57" s="189"/>
      <c r="M57" s="189"/>
      <c r="N57" s="189"/>
      <c r="O57" s="189"/>
      <c r="P57" s="189"/>
    </row>
  </sheetData>
  <mergeCells count="23">
    <mergeCell ref="H33:K33"/>
    <mergeCell ref="H34:K34"/>
    <mergeCell ref="H35:K35"/>
    <mergeCell ref="H30:K30"/>
    <mergeCell ref="H22:K22"/>
    <mergeCell ref="H24:K24"/>
    <mergeCell ref="H23:K23"/>
    <mergeCell ref="H36:K36"/>
    <mergeCell ref="B57:P57"/>
    <mergeCell ref="H25:K25"/>
    <mergeCell ref="H26:K26"/>
    <mergeCell ref="H27:K27"/>
    <mergeCell ref="H28:K28"/>
    <mergeCell ref="H29:K29"/>
    <mergeCell ref="N39:O39"/>
    <mergeCell ref="P39:P40"/>
    <mergeCell ref="H39:J39"/>
    <mergeCell ref="B39:B40"/>
    <mergeCell ref="C39:F39"/>
    <mergeCell ref="G39:G40"/>
    <mergeCell ref="K39:M39"/>
    <mergeCell ref="H31:K31"/>
    <mergeCell ref="H32:K32"/>
  </mergeCells>
  <phoneticPr fontId="4" type="noConversion"/>
  <hyperlinks>
    <hyperlink ref="B57:P57" r:id="rId1" display="CLICK HERE TO CREATE IN SMARTSHEET" xr:uid="{1A43BC5D-C8B2-C74E-AD03-5E40467A2492}"/>
  </hyperlinks>
  <pageMargins left="0.3" right="0.3" top="0.3" bottom="0.3" header="0" footer="0"/>
  <pageSetup scale="69" fitToHeight="0" orientation="landscape" horizontalDpi="4294967292" verticalDpi="4294967292"/>
  <rowBreaks count="2" manualBreakCount="2">
    <brk id="6" max="16383" man="1"/>
    <brk id="37" max="16383" man="1"/>
  </rowBreaks>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3C4B-C82B-8546-8474-D329E515D58C}">
  <sheetPr>
    <tabColor theme="1" tint="0.34998626667073579"/>
  </sheetPr>
  <dimension ref="B2"/>
  <sheetViews>
    <sheetView showGridLines="0" workbookViewId="0">
      <selection activeCell="O70" sqref="O70"/>
    </sheetView>
  </sheetViews>
  <sheetFormatPr defaultColWidth="10.8984375" defaultRowHeight="14.4" x14ac:dyDescent="0.3"/>
  <cols>
    <col min="1" max="1" width="3.3984375" style="36" customWidth="1"/>
    <col min="2" max="2" width="88.3984375" style="36" customWidth="1"/>
    <col min="3" max="16384" width="10.8984375" style="36"/>
  </cols>
  <sheetData>
    <row r="2" spans="2:2" ht="90" x14ac:dyDescent="0.3">
      <c r="B2" s="37" t="s">
        <v>42</v>
      </c>
    </row>
  </sheetData>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F0D73-79D4-BB44-84C5-464BB5ACD800}">
  <sheetPr>
    <tabColor theme="8" tint="0.79998168889431442"/>
    <pageSetUpPr fitToPage="1"/>
  </sheetPr>
  <dimension ref="A1:DN63"/>
  <sheetViews>
    <sheetView showGridLines="0" topLeftCell="A4" zoomScale="90" zoomScaleNormal="90" workbookViewId="0">
      <selection activeCell="B27" sqref="B27"/>
    </sheetView>
  </sheetViews>
  <sheetFormatPr defaultColWidth="10.8984375" defaultRowHeight="15" x14ac:dyDescent="0.25"/>
  <cols>
    <col min="1" max="1" width="3.3984375" style="1" customWidth="1"/>
    <col min="2" max="2" width="20.8984375" style="1" customWidth="1"/>
    <col min="3" max="3" width="10.8984375" style="1"/>
    <col min="4" max="8" width="12" style="1" customWidth="1"/>
    <col min="9" max="13" width="10.8984375" style="1"/>
    <col min="14" max="14" width="12.09765625" style="1" customWidth="1"/>
    <col min="15" max="15" width="11.796875" style="1" customWidth="1"/>
    <col min="16" max="16" width="13.296875" style="1" customWidth="1"/>
    <col min="17" max="17" width="3.3984375" style="1" customWidth="1"/>
    <col min="18" max="16384" width="10.8984375" style="1"/>
  </cols>
  <sheetData>
    <row r="1" spans="2:118" s="31" customFormat="1" ht="45" customHeight="1" x14ac:dyDescent="0.3">
      <c r="B1" s="41" t="s">
        <v>187</v>
      </c>
      <c r="C1" s="32"/>
      <c r="D1" s="33"/>
      <c r="E1" s="33"/>
      <c r="F1" s="34"/>
      <c r="G1" s="33"/>
      <c r="H1" s="42"/>
      <c r="I1" s="42"/>
      <c r="J1" s="42"/>
      <c r="K1" s="42"/>
      <c r="L1" s="42"/>
      <c r="M1" s="42"/>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c r="CW1" s="33"/>
      <c r="CX1" s="33"/>
      <c r="CY1" s="33"/>
      <c r="CZ1" s="33"/>
      <c r="DA1" s="33"/>
      <c r="DB1" s="33"/>
      <c r="DC1" s="33"/>
      <c r="DD1" s="33"/>
      <c r="DE1" s="33"/>
      <c r="DF1" s="33"/>
      <c r="DG1" s="33"/>
      <c r="DH1" s="33"/>
      <c r="DI1" s="33"/>
      <c r="DJ1" s="33"/>
      <c r="DK1" s="33"/>
      <c r="DL1" s="33"/>
      <c r="DM1" s="33"/>
      <c r="DN1" s="33"/>
    </row>
    <row r="2" spans="2:118" s="31" customFormat="1" ht="34.5" customHeight="1" x14ac:dyDescent="0.3">
      <c r="B2" s="43"/>
      <c r="C2" s="32"/>
      <c r="D2" s="33"/>
      <c r="E2" s="33"/>
      <c r="F2" s="34"/>
      <c r="G2" s="33"/>
      <c r="H2" s="42"/>
      <c r="I2" s="42"/>
      <c r="J2" s="42"/>
      <c r="K2" s="42"/>
      <c r="L2" s="42"/>
      <c r="M2" s="42"/>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c r="CW2" s="33"/>
      <c r="CX2" s="33"/>
      <c r="CY2" s="33"/>
      <c r="CZ2" s="33"/>
      <c r="DA2" s="33"/>
      <c r="DB2" s="33"/>
      <c r="DC2" s="33"/>
      <c r="DD2" s="33"/>
      <c r="DE2" s="33"/>
      <c r="DF2" s="33"/>
      <c r="DG2" s="33"/>
      <c r="DH2" s="33"/>
      <c r="DI2" s="33"/>
      <c r="DJ2" s="33"/>
      <c r="DK2" s="33"/>
      <c r="DL2" s="33"/>
      <c r="DM2" s="33"/>
      <c r="DN2" s="33"/>
    </row>
    <row r="3" spans="2:118" ht="24" customHeight="1" x14ac:dyDescent="0.25">
      <c r="B3" s="40" t="s">
        <v>92</v>
      </c>
      <c r="C3" s="40"/>
      <c r="D3" s="40"/>
      <c r="E3" s="40"/>
      <c r="F3" s="40"/>
      <c r="G3" s="40"/>
      <c r="H3" s="40"/>
      <c r="I3" s="40"/>
      <c r="J3" s="40"/>
      <c r="K3" s="40"/>
    </row>
    <row r="4" spans="2:118" ht="387" customHeight="1" x14ac:dyDescent="0.25">
      <c r="B4" s="3"/>
    </row>
    <row r="5" spans="2:118" ht="290.10000000000002" customHeight="1" x14ac:dyDescent="0.25"/>
    <row r="6" spans="2:118" ht="22.2" customHeight="1" x14ac:dyDescent="0.25">
      <c r="B6" s="1" t="s">
        <v>101</v>
      </c>
    </row>
    <row r="7" spans="2:118" ht="358.2" customHeight="1" x14ac:dyDescent="0.25"/>
    <row r="8" spans="2:118" ht="180" customHeight="1" x14ac:dyDescent="0.25"/>
    <row r="11" spans="2:118" ht="24" customHeight="1" x14ac:dyDescent="0.25">
      <c r="B11" s="40" t="s">
        <v>100</v>
      </c>
      <c r="C11" s="40"/>
      <c r="D11" s="40"/>
      <c r="E11" s="40"/>
      <c r="F11" s="40"/>
      <c r="G11" s="40"/>
      <c r="H11" s="40"/>
      <c r="I11" s="40"/>
      <c r="J11" s="40"/>
      <c r="K11" s="40"/>
    </row>
    <row r="12" spans="2:118" ht="228" customHeight="1" x14ac:dyDescent="0.25"/>
    <row r="14" spans="2:118" ht="183" customHeight="1" x14ac:dyDescent="0.25"/>
    <row r="15" spans="2:118" ht="43.8" customHeight="1" x14ac:dyDescent="0.25"/>
    <row r="17" spans="1:17" ht="39.9" customHeight="1" x14ac:dyDescent="0.25">
      <c r="B17" s="39" t="s">
        <v>43</v>
      </c>
      <c r="G17" s="38" t="s">
        <v>44</v>
      </c>
    </row>
    <row r="18" spans="1:17" ht="57" customHeight="1" x14ac:dyDescent="0.25">
      <c r="A18" s="2"/>
      <c r="B18" s="193" t="s">
        <v>0</v>
      </c>
      <c r="C18" s="194" t="s">
        <v>93</v>
      </c>
      <c r="D18" s="194"/>
      <c r="E18" s="194"/>
      <c r="F18" s="194"/>
      <c r="G18" s="195" t="s">
        <v>82</v>
      </c>
      <c r="H18" s="196" t="s">
        <v>186</v>
      </c>
      <c r="I18" s="196"/>
      <c r="J18" s="196"/>
      <c r="K18" s="199" t="s">
        <v>6</v>
      </c>
      <c r="L18" s="199"/>
      <c r="M18" s="198" t="s">
        <v>85</v>
      </c>
      <c r="N18" s="2"/>
      <c r="O18" s="2"/>
      <c r="P18" s="2"/>
      <c r="Q18" s="2"/>
    </row>
    <row r="19" spans="1:17" ht="15.9" customHeight="1" x14ac:dyDescent="0.25">
      <c r="A19" s="2"/>
      <c r="B19" s="193"/>
      <c r="C19" s="12" t="s">
        <v>32</v>
      </c>
      <c r="D19" s="12" t="s">
        <v>11</v>
      </c>
      <c r="E19" s="12" t="s">
        <v>12</v>
      </c>
      <c r="F19" s="12" t="s">
        <v>13</v>
      </c>
      <c r="G19" s="195"/>
      <c r="H19" s="62" t="s">
        <v>79</v>
      </c>
      <c r="I19" s="61" t="s">
        <v>80</v>
      </c>
      <c r="J19" s="14" t="s">
        <v>81</v>
      </c>
      <c r="K19" s="60" t="s">
        <v>84</v>
      </c>
      <c r="L19" s="60" t="s">
        <v>83</v>
      </c>
      <c r="M19" s="198"/>
      <c r="N19" s="2"/>
      <c r="O19" s="2"/>
      <c r="P19" s="2"/>
      <c r="Q19" s="2"/>
    </row>
    <row r="20" spans="1:17" x14ac:dyDescent="0.25">
      <c r="A20" s="2"/>
      <c r="B20" s="11" t="s">
        <v>47</v>
      </c>
      <c r="C20" s="63">
        <v>46023</v>
      </c>
      <c r="D20" s="64">
        <v>46023</v>
      </c>
      <c r="E20" s="63">
        <v>46387</v>
      </c>
      <c r="F20" s="17">
        <f>E20-D20+1</f>
        <v>365</v>
      </c>
      <c r="G20" s="17" t="e">
        <f>#REF!</f>
        <v>#REF!</v>
      </c>
      <c r="H20" s="19" t="e">
        <f>#REF!</f>
        <v>#REF!</v>
      </c>
      <c r="I20" s="19" t="e">
        <f>#REF!</f>
        <v>#REF!</v>
      </c>
      <c r="J20" s="19" t="e">
        <f>#REF!</f>
        <v>#REF!</v>
      </c>
      <c r="K20" s="19" t="e">
        <f>#REF!</f>
        <v>#REF!</v>
      </c>
      <c r="L20" s="19" t="e">
        <f>#REF!</f>
        <v>#REF!</v>
      </c>
      <c r="M20" s="19" t="e">
        <f>#REF!</f>
        <v>#REF!</v>
      </c>
      <c r="N20" s="2"/>
      <c r="O20" s="2"/>
      <c r="P20" s="2"/>
      <c r="Q20" s="2"/>
    </row>
    <row r="21" spans="1:17" x14ac:dyDescent="0.25">
      <c r="A21" s="2"/>
      <c r="B21" s="20" t="s">
        <v>87</v>
      </c>
      <c r="C21" s="63">
        <v>46023</v>
      </c>
      <c r="D21" s="64">
        <v>45962</v>
      </c>
      <c r="E21" s="63">
        <v>46326</v>
      </c>
      <c r="F21" s="22">
        <f t="shared" ref="F21:F33" si="0">E21-D21+1</f>
        <v>365</v>
      </c>
      <c r="G21" s="23" t="e">
        <f>#REF!</f>
        <v>#REF!</v>
      </c>
      <c r="H21" s="25" t="e">
        <f>#REF!</f>
        <v>#REF!</v>
      </c>
      <c r="I21" s="25" t="e">
        <f>#REF!</f>
        <v>#REF!</v>
      </c>
      <c r="J21" s="25" t="e">
        <f>#REF!</f>
        <v>#REF!</v>
      </c>
      <c r="K21" s="26" t="e">
        <f>#REF!</f>
        <v>#REF!</v>
      </c>
      <c r="L21" s="26" t="e">
        <f>#REF!</f>
        <v>#REF!</v>
      </c>
      <c r="M21" s="27" t="e">
        <f>#REF!</f>
        <v>#REF!</v>
      </c>
      <c r="N21" s="2"/>
      <c r="O21" s="2"/>
      <c r="P21" s="2"/>
      <c r="Q21" s="2"/>
    </row>
    <row r="22" spans="1:17" x14ac:dyDescent="0.25">
      <c r="A22" s="2"/>
      <c r="B22" s="11" t="s">
        <v>86</v>
      </c>
      <c r="C22" s="63">
        <v>46023</v>
      </c>
      <c r="D22" s="64">
        <v>46023</v>
      </c>
      <c r="E22" s="63">
        <v>46387</v>
      </c>
      <c r="F22" s="17">
        <f t="shared" si="0"/>
        <v>365</v>
      </c>
      <c r="G22" s="17" t="e">
        <f>#REF!</f>
        <v>#REF!</v>
      </c>
      <c r="H22" s="19" t="e">
        <f>#REF!</f>
        <v>#REF!</v>
      </c>
      <c r="I22" s="19" t="e">
        <f>#REF!</f>
        <v>#REF!</v>
      </c>
      <c r="J22" s="19" t="e">
        <f>#REF!</f>
        <v>#REF!</v>
      </c>
      <c r="K22" s="19" t="e">
        <f>#REF!</f>
        <v>#REF!</v>
      </c>
      <c r="L22" s="19" t="e">
        <f>#REF!</f>
        <v>#REF!</v>
      </c>
      <c r="M22" s="19" t="e">
        <f>#REF!</f>
        <v>#REF!</v>
      </c>
      <c r="N22" s="2"/>
      <c r="O22" s="2"/>
      <c r="P22" s="2"/>
      <c r="Q22" s="2"/>
    </row>
    <row r="23" spans="1:17" x14ac:dyDescent="0.25">
      <c r="A23" s="2"/>
      <c r="B23" s="20" t="s">
        <v>88</v>
      </c>
      <c r="C23" s="63">
        <v>46023</v>
      </c>
      <c r="D23" s="64">
        <v>46023</v>
      </c>
      <c r="E23" s="63">
        <v>46387</v>
      </c>
      <c r="F23" s="22">
        <f t="shared" si="0"/>
        <v>365</v>
      </c>
      <c r="G23" s="23" t="e">
        <f>#REF!</f>
        <v>#REF!</v>
      </c>
      <c r="H23" s="25" t="e">
        <f>#REF!</f>
        <v>#REF!</v>
      </c>
      <c r="I23" s="25" t="e">
        <f>#REF!</f>
        <v>#REF!</v>
      </c>
      <c r="J23" s="25" t="e">
        <f>#REF!</f>
        <v>#REF!</v>
      </c>
      <c r="K23" s="26" t="e">
        <f>#REF!</f>
        <v>#REF!</v>
      </c>
      <c r="L23" s="26" t="e">
        <f>#REF!</f>
        <v>#REF!</v>
      </c>
      <c r="M23" s="27" t="e">
        <f>#REF!</f>
        <v>#REF!</v>
      </c>
      <c r="N23" s="2"/>
      <c r="O23" s="2"/>
      <c r="P23" s="2"/>
      <c r="Q23" s="2"/>
    </row>
    <row r="24" spans="1:17" x14ac:dyDescent="0.25">
      <c r="A24" s="2"/>
      <c r="B24" s="11" t="s">
        <v>89</v>
      </c>
      <c r="C24" s="63">
        <v>45931</v>
      </c>
      <c r="D24" s="64">
        <v>45931</v>
      </c>
      <c r="E24" s="63">
        <v>46295</v>
      </c>
      <c r="F24" s="17">
        <f t="shared" si="0"/>
        <v>365</v>
      </c>
      <c r="G24" s="17" t="e">
        <f>#REF!</f>
        <v>#REF!</v>
      </c>
      <c r="H24" s="19" t="e">
        <f>#REF!</f>
        <v>#REF!</v>
      </c>
      <c r="I24" s="19" t="e">
        <f>#REF!</f>
        <v>#REF!</v>
      </c>
      <c r="J24" s="19" t="e">
        <f>#REF!</f>
        <v>#REF!</v>
      </c>
      <c r="K24" s="19" t="e">
        <f>#REF!</f>
        <v>#REF!</v>
      </c>
      <c r="L24" s="19" t="e">
        <f>#REF!</f>
        <v>#REF!</v>
      </c>
      <c r="M24" s="19" t="e">
        <f>#REF!</f>
        <v>#REF!</v>
      </c>
      <c r="N24" s="2"/>
      <c r="O24" s="2"/>
      <c r="P24" s="2"/>
      <c r="Q24" s="2"/>
    </row>
    <row r="25" spans="1:17" x14ac:dyDescent="0.25">
      <c r="A25" s="2"/>
      <c r="B25" s="20" t="s">
        <v>90</v>
      </c>
      <c r="C25" s="63">
        <v>46023</v>
      </c>
      <c r="D25" s="64">
        <v>46023</v>
      </c>
      <c r="E25" s="63">
        <v>46387</v>
      </c>
      <c r="F25" s="22">
        <f t="shared" si="0"/>
        <v>365</v>
      </c>
      <c r="G25" s="23" t="e">
        <f>#REF!</f>
        <v>#REF!</v>
      </c>
      <c r="H25" s="25" t="e">
        <f>#REF!</f>
        <v>#REF!</v>
      </c>
      <c r="I25" s="25" t="e">
        <f>#REF!</f>
        <v>#REF!</v>
      </c>
      <c r="J25" s="25" t="e">
        <f>#REF!</f>
        <v>#REF!</v>
      </c>
      <c r="K25" s="26" t="e">
        <f>#REF!</f>
        <v>#REF!</v>
      </c>
      <c r="L25" s="26" t="e">
        <f>#REF!</f>
        <v>#REF!</v>
      </c>
      <c r="M25" s="27" t="e">
        <f>#REF!</f>
        <v>#REF!</v>
      </c>
      <c r="N25" s="2"/>
      <c r="O25" s="2"/>
      <c r="P25" s="2"/>
      <c r="Q25" s="2"/>
    </row>
    <row r="26" spans="1:17" x14ac:dyDescent="0.25">
      <c r="A26" s="2"/>
      <c r="B26" s="11" t="s">
        <v>91</v>
      </c>
      <c r="C26" s="63">
        <v>46023</v>
      </c>
      <c r="D26" s="64">
        <v>45809</v>
      </c>
      <c r="E26" s="63">
        <v>46173</v>
      </c>
      <c r="F26" s="17">
        <f t="shared" si="0"/>
        <v>365</v>
      </c>
      <c r="G26" s="17" t="e">
        <f>#REF!</f>
        <v>#REF!</v>
      </c>
      <c r="H26" s="19" t="e">
        <f>#REF!</f>
        <v>#REF!</v>
      </c>
      <c r="I26" s="19" t="e">
        <f>#REF!</f>
        <v>#REF!</v>
      </c>
      <c r="J26" s="19" t="e">
        <f>#REF!</f>
        <v>#REF!</v>
      </c>
      <c r="K26" s="19" t="e">
        <f>#REF!</f>
        <v>#REF!</v>
      </c>
      <c r="L26" s="19" t="e">
        <f>#REF!</f>
        <v>#REF!</v>
      </c>
      <c r="M26" s="19" t="e">
        <f>#REF!</f>
        <v>#REF!</v>
      </c>
      <c r="N26" s="2"/>
      <c r="O26" s="2"/>
      <c r="P26" s="2"/>
      <c r="Q26" s="2"/>
    </row>
    <row r="27" spans="1:17" x14ac:dyDescent="0.25">
      <c r="A27" s="2"/>
      <c r="B27" s="20"/>
      <c r="C27" s="63">
        <v>46023</v>
      </c>
      <c r="D27" s="64">
        <v>46023</v>
      </c>
      <c r="E27" s="63">
        <v>46387</v>
      </c>
      <c r="F27" s="22">
        <f t="shared" si="0"/>
        <v>365</v>
      </c>
      <c r="G27" s="23">
        <v>0</v>
      </c>
      <c r="H27" s="25">
        <v>0</v>
      </c>
      <c r="I27" s="25">
        <v>0</v>
      </c>
      <c r="J27" s="25">
        <v>0</v>
      </c>
      <c r="K27" s="26">
        <v>0</v>
      </c>
      <c r="L27" s="26">
        <v>0</v>
      </c>
      <c r="M27" s="27">
        <v>0</v>
      </c>
      <c r="N27" s="2"/>
      <c r="O27" s="2"/>
      <c r="P27" s="2"/>
      <c r="Q27" s="2"/>
    </row>
    <row r="28" spans="1:17" x14ac:dyDescent="0.25">
      <c r="A28" s="2"/>
      <c r="B28" s="20" t="s">
        <v>103</v>
      </c>
      <c r="C28" s="63">
        <v>46023</v>
      </c>
      <c r="D28" s="64">
        <v>45927</v>
      </c>
      <c r="E28" s="63">
        <v>46291</v>
      </c>
      <c r="F28" s="17">
        <f t="shared" si="0"/>
        <v>365</v>
      </c>
      <c r="G28" s="17" t="e">
        <f>#REF!</f>
        <v>#REF!</v>
      </c>
      <c r="H28" s="19" t="e">
        <f>#REF!</f>
        <v>#REF!</v>
      </c>
      <c r="I28" s="19" t="e">
        <f>#REF!</f>
        <v>#REF!</v>
      </c>
      <c r="J28" s="19" t="e">
        <f>#REF!</f>
        <v>#REF!</v>
      </c>
      <c r="K28" s="19" t="e">
        <f>#REF!</f>
        <v>#REF!</v>
      </c>
      <c r="L28" s="19" t="e">
        <f>#REF!</f>
        <v>#REF!</v>
      </c>
      <c r="M28" s="19" t="e">
        <f>#REF!</f>
        <v>#REF!</v>
      </c>
      <c r="N28" s="2"/>
      <c r="O28" s="2"/>
      <c r="P28" s="2"/>
      <c r="Q28" s="2"/>
    </row>
    <row r="29" spans="1:17" x14ac:dyDescent="0.25">
      <c r="A29" s="2"/>
      <c r="B29" s="20" t="s">
        <v>104</v>
      </c>
      <c r="C29" s="63">
        <v>46023</v>
      </c>
      <c r="D29" s="64">
        <v>46023</v>
      </c>
      <c r="E29" s="63">
        <v>46752</v>
      </c>
      <c r="F29" s="22">
        <f t="shared" si="0"/>
        <v>730</v>
      </c>
      <c r="G29" s="23" t="e">
        <f>#REF!</f>
        <v>#REF!</v>
      </c>
      <c r="H29" s="25" t="e">
        <f>#REF!</f>
        <v>#REF!</v>
      </c>
      <c r="I29" s="25" t="e">
        <f>#REF!</f>
        <v>#REF!</v>
      </c>
      <c r="J29" s="25" t="e">
        <f>#REF!</f>
        <v>#REF!</v>
      </c>
      <c r="K29" s="26" t="e">
        <f>#REF!</f>
        <v>#REF!</v>
      </c>
      <c r="L29" s="26" t="e">
        <f>#REF!</f>
        <v>#REF!</v>
      </c>
      <c r="M29" s="27" t="e">
        <f>#REF!</f>
        <v>#REF!</v>
      </c>
      <c r="N29" s="2"/>
      <c r="O29" s="2"/>
      <c r="P29" s="2"/>
      <c r="Q29" s="2"/>
    </row>
    <row r="30" spans="1:17" x14ac:dyDescent="0.25">
      <c r="A30" s="2"/>
      <c r="B30" s="11"/>
      <c r="C30" s="63"/>
      <c r="D30" s="64"/>
      <c r="E30" s="63"/>
      <c r="F30" s="17">
        <f t="shared" si="0"/>
        <v>1</v>
      </c>
      <c r="G30" s="17"/>
      <c r="H30" s="19"/>
      <c r="I30" s="19"/>
      <c r="J30" s="19"/>
      <c r="K30" s="19"/>
      <c r="L30" s="19"/>
      <c r="M30" s="19"/>
      <c r="N30" s="2"/>
      <c r="O30" s="2"/>
      <c r="P30" s="2"/>
      <c r="Q30" s="2"/>
    </row>
    <row r="31" spans="1:17" x14ac:dyDescent="0.25">
      <c r="A31" s="2"/>
      <c r="B31" s="20"/>
      <c r="C31" s="63"/>
      <c r="D31" s="64"/>
      <c r="E31" s="63"/>
      <c r="F31" s="22">
        <f t="shared" si="0"/>
        <v>1</v>
      </c>
      <c r="G31" s="23"/>
      <c r="H31" s="25"/>
      <c r="I31" s="25"/>
      <c r="J31" s="25"/>
      <c r="K31" s="26"/>
      <c r="L31" s="26"/>
      <c r="M31" s="27"/>
      <c r="N31" s="2"/>
      <c r="O31" s="2"/>
      <c r="P31" s="2"/>
      <c r="Q31" s="2"/>
    </row>
    <row r="32" spans="1:17" x14ac:dyDescent="0.25">
      <c r="A32" s="2"/>
      <c r="B32" s="11"/>
      <c r="C32" s="63"/>
      <c r="D32" s="64"/>
      <c r="E32" s="63"/>
      <c r="F32" s="17">
        <f t="shared" si="0"/>
        <v>1</v>
      </c>
      <c r="G32" s="17"/>
      <c r="H32" s="19"/>
      <c r="I32" s="19"/>
      <c r="J32" s="19"/>
      <c r="K32" s="19"/>
      <c r="L32" s="19"/>
      <c r="M32" s="19"/>
      <c r="N32" s="2"/>
      <c r="O32" s="2"/>
      <c r="P32" s="2"/>
      <c r="Q32" s="2"/>
    </row>
    <row r="33" spans="1:20" x14ac:dyDescent="0.25">
      <c r="A33" s="2"/>
      <c r="B33" s="20"/>
      <c r="C33" s="63"/>
      <c r="D33" s="64"/>
      <c r="E33" s="63"/>
      <c r="F33" s="22">
        <f t="shared" si="0"/>
        <v>1</v>
      </c>
      <c r="G33" s="23"/>
      <c r="H33" s="25"/>
      <c r="I33" s="25"/>
      <c r="J33" s="25"/>
      <c r="K33" s="26"/>
      <c r="L33" s="26"/>
      <c r="M33" s="27"/>
      <c r="N33" s="2"/>
      <c r="O33" s="2"/>
      <c r="P33" s="2"/>
      <c r="Q33" s="2"/>
    </row>
    <row r="34" spans="1:20" ht="23.1" customHeight="1" x14ac:dyDescent="0.25">
      <c r="A34" s="2"/>
      <c r="B34" s="2"/>
      <c r="C34" s="2"/>
      <c r="D34" s="2"/>
      <c r="E34" s="2"/>
      <c r="F34" s="2"/>
      <c r="G34" s="5"/>
      <c r="H34" s="7" t="e">
        <f t="shared" ref="H34:M34" si="1">SUM(H20:H33)</f>
        <v>#REF!</v>
      </c>
      <c r="I34" s="7" t="e">
        <f t="shared" si="1"/>
        <v>#REF!</v>
      </c>
      <c r="J34" s="7" t="e">
        <f t="shared" si="1"/>
        <v>#REF!</v>
      </c>
      <c r="K34" s="8" t="e">
        <f t="shared" si="1"/>
        <v>#REF!</v>
      </c>
      <c r="L34" s="8" t="e">
        <f t="shared" si="1"/>
        <v>#REF!</v>
      </c>
      <c r="M34" s="9" t="e">
        <f t="shared" si="1"/>
        <v>#REF!</v>
      </c>
      <c r="Q34" s="2"/>
      <c r="R34" s="2"/>
      <c r="S34" s="2"/>
      <c r="T34" s="2"/>
    </row>
    <row r="63" spans="2:2" x14ac:dyDescent="0.25">
      <c r="B63" s="1" t="s">
        <v>45</v>
      </c>
    </row>
  </sheetData>
  <mergeCells count="6">
    <mergeCell ref="B18:B19"/>
    <mergeCell ref="C18:F18"/>
    <mergeCell ref="G18:G19"/>
    <mergeCell ref="H18:J18"/>
    <mergeCell ref="M18:M19"/>
    <mergeCell ref="K18:L18"/>
  </mergeCells>
  <pageMargins left="0.3" right="0.3" top="0.3" bottom="0.3" header="0" footer="0"/>
  <pageSetup scale="58" fitToHeight="0" orientation="landscape" horizontalDpi="4294967292" verticalDpi="4294967292" r:id="rId1"/>
  <rowBreaks count="2" manualBreakCount="2">
    <brk id="5" min="1" max="18" man="1"/>
    <brk id="12" min="1" max="18"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871F0-BFB1-4093-A37C-4E759EA22CB1}">
  <dimension ref="A1:G19"/>
  <sheetViews>
    <sheetView workbookViewId="0">
      <selection activeCell="C9" sqref="C9"/>
    </sheetView>
  </sheetViews>
  <sheetFormatPr defaultRowHeight="15.6" x14ac:dyDescent="0.3"/>
  <cols>
    <col min="1" max="1" width="9.3984375" customWidth="1"/>
    <col min="2" max="2" width="17.3984375" customWidth="1"/>
    <col min="3" max="3" width="21.5" customWidth="1"/>
    <col min="4" max="4" width="14" customWidth="1"/>
    <col min="5" max="5" width="11.8984375" customWidth="1"/>
    <col min="6" max="6" width="13.796875" customWidth="1"/>
    <col min="7" max="7" width="11.59765625" customWidth="1"/>
  </cols>
  <sheetData>
    <row r="1" spans="1:7" x14ac:dyDescent="0.3">
      <c r="A1" s="104" t="s">
        <v>280</v>
      </c>
      <c r="B1" s="104" t="s">
        <v>284</v>
      </c>
      <c r="C1" s="104" t="s">
        <v>285</v>
      </c>
      <c r="D1" s="104" t="s">
        <v>304</v>
      </c>
      <c r="E1" s="104" t="s">
        <v>282</v>
      </c>
      <c r="F1" s="104" t="s">
        <v>283</v>
      </c>
      <c r="G1" s="104" t="s">
        <v>353</v>
      </c>
    </row>
    <row r="2" spans="1:7" s="105" customFormat="1" x14ac:dyDescent="0.3">
      <c r="A2" s="106" t="s">
        <v>338</v>
      </c>
      <c r="B2" s="106" t="s">
        <v>339</v>
      </c>
      <c r="C2" s="106" t="s">
        <v>340</v>
      </c>
      <c r="D2" t="s">
        <v>69</v>
      </c>
      <c r="E2" s="107">
        <v>46023</v>
      </c>
      <c r="F2" s="107">
        <v>46387</v>
      </c>
      <c r="G2" t="s">
        <v>352</v>
      </c>
    </row>
    <row r="3" spans="1:7" x14ac:dyDescent="0.3">
      <c r="A3" t="s">
        <v>47</v>
      </c>
      <c r="B3" t="s">
        <v>293</v>
      </c>
      <c r="C3" t="s">
        <v>305</v>
      </c>
      <c r="D3" t="s">
        <v>69</v>
      </c>
      <c r="E3" s="107">
        <v>46023</v>
      </c>
      <c r="F3" s="107">
        <v>46387</v>
      </c>
      <c r="G3" t="s">
        <v>352</v>
      </c>
    </row>
    <row r="4" spans="1:7" x14ac:dyDescent="0.3">
      <c r="A4" t="s">
        <v>90</v>
      </c>
      <c r="B4" t="s">
        <v>313</v>
      </c>
      <c r="C4" t="s">
        <v>312</v>
      </c>
      <c r="D4" t="s">
        <v>69</v>
      </c>
      <c r="E4" s="107">
        <v>46023</v>
      </c>
      <c r="F4" s="107">
        <v>46387</v>
      </c>
      <c r="G4" t="s">
        <v>352</v>
      </c>
    </row>
    <row r="5" spans="1:7" x14ac:dyDescent="0.3">
      <c r="A5" t="s">
        <v>105</v>
      </c>
      <c r="B5" t="s">
        <v>316</v>
      </c>
      <c r="C5" t="s">
        <v>318</v>
      </c>
      <c r="D5" t="s">
        <v>69</v>
      </c>
      <c r="E5" s="103">
        <v>45927</v>
      </c>
      <c r="F5" s="103">
        <v>46291</v>
      </c>
      <c r="G5" t="s">
        <v>351</v>
      </c>
    </row>
    <row r="6" spans="1:7" x14ac:dyDescent="0.3">
      <c r="A6" t="s">
        <v>105</v>
      </c>
      <c r="B6" t="s">
        <v>317</v>
      </c>
      <c r="C6" t="s">
        <v>319</v>
      </c>
      <c r="D6" t="s">
        <v>69</v>
      </c>
      <c r="E6" s="103">
        <v>45927</v>
      </c>
      <c r="F6" s="103">
        <v>46291</v>
      </c>
      <c r="G6" t="s">
        <v>351</v>
      </c>
    </row>
    <row r="7" spans="1:7" x14ac:dyDescent="0.3">
      <c r="A7" t="s">
        <v>89</v>
      </c>
      <c r="B7" t="s">
        <v>321</v>
      </c>
      <c r="C7" t="s">
        <v>320</v>
      </c>
      <c r="D7" t="s">
        <v>69</v>
      </c>
      <c r="E7" s="103">
        <v>45931</v>
      </c>
      <c r="F7" s="103">
        <v>46295</v>
      </c>
      <c r="G7" t="s">
        <v>351</v>
      </c>
    </row>
    <row r="8" spans="1:7" x14ac:dyDescent="0.3">
      <c r="A8" t="s">
        <v>88</v>
      </c>
      <c r="B8" t="s">
        <v>322</v>
      </c>
      <c r="C8" t="s">
        <v>309</v>
      </c>
      <c r="D8" t="s">
        <v>69</v>
      </c>
      <c r="E8" s="107">
        <v>46023</v>
      </c>
      <c r="F8" s="107">
        <v>46387</v>
      </c>
      <c r="G8" t="s">
        <v>352</v>
      </c>
    </row>
    <row r="9" spans="1:7" x14ac:dyDescent="0.3">
      <c r="A9" t="s">
        <v>88</v>
      </c>
      <c r="B9" t="s">
        <v>323</v>
      </c>
      <c r="C9" t="s">
        <v>308</v>
      </c>
      <c r="D9" t="s">
        <v>261</v>
      </c>
      <c r="E9" s="103">
        <v>45685</v>
      </c>
      <c r="F9" s="103">
        <v>46326</v>
      </c>
      <c r="G9" t="s">
        <v>352</v>
      </c>
    </row>
    <row r="10" spans="1:7" x14ac:dyDescent="0.3">
      <c r="A10" t="s">
        <v>86</v>
      </c>
      <c r="B10" t="s">
        <v>324</v>
      </c>
      <c r="C10" t="s">
        <v>310</v>
      </c>
      <c r="D10" t="s">
        <v>69</v>
      </c>
      <c r="E10" s="103">
        <v>46023</v>
      </c>
      <c r="F10" s="103">
        <v>46387</v>
      </c>
      <c r="G10" t="s">
        <v>351</v>
      </c>
    </row>
    <row r="11" spans="1:7" x14ac:dyDescent="0.3">
      <c r="A11" t="s">
        <v>91</v>
      </c>
      <c r="B11" t="s">
        <v>328</v>
      </c>
      <c r="C11" t="s">
        <v>325</v>
      </c>
      <c r="D11" t="s">
        <v>69</v>
      </c>
      <c r="E11" s="103">
        <v>45748</v>
      </c>
      <c r="F11" s="103">
        <v>46112</v>
      </c>
      <c r="G11" t="s">
        <v>352</v>
      </c>
    </row>
    <row r="12" spans="1:7" x14ac:dyDescent="0.3">
      <c r="A12" t="s">
        <v>91</v>
      </c>
      <c r="B12" t="s">
        <v>327</v>
      </c>
      <c r="C12" t="s">
        <v>326</v>
      </c>
      <c r="D12" t="s">
        <v>69</v>
      </c>
      <c r="E12" s="103">
        <v>45809</v>
      </c>
      <c r="F12" s="103">
        <v>46173</v>
      </c>
      <c r="G12" t="s">
        <v>352</v>
      </c>
    </row>
    <row r="13" spans="1:7" x14ac:dyDescent="0.3">
      <c r="A13" t="s">
        <v>87</v>
      </c>
      <c r="B13" t="s">
        <v>329</v>
      </c>
      <c r="C13" t="s">
        <v>306</v>
      </c>
      <c r="D13" t="s">
        <v>69</v>
      </c>
      <c r="E13" s="103">
        <v>45962</v>
      </c>
      <c r="F13" s="103">
        <v>46326</v>
      </c>
      <c r="G13" t="s">
        <v>352</v>
      </c>
    </row>
    <row r="14" spans="1:7" x14ac:dyDescent="0.3">
      <c r="A14" t="s">
        <v>87</v>
      </c>
      <c r="B14" t="s">
        <v>330</v>
      </c>
      <c r="C14" t="s">
        <v>307</v>
      </c>
      <c r="D14" t="s">
        <v>288</v>
      </c>
      <c r="E14" s="103">
        <v>45931</v>
      </c>
      <c r="F14" s="103">
        <v>46081</v>
      </c>
      <c r="G14" t="s">
        <v>352</v>
      </c>
    </row>
    <row r="15" spans="1:7" x14ac:dyDescent="0.3">
      <c r="A15" t="s">
        <v>290</v>
      </c>
      <c r="B15" t="s">
        <v>334</v>
      </c>
      <c r="C15" t="s">
        <v>311</v>
      </c>
      <c r="D15" t="s">
        <v>69</v>
      </c>
      <c r="E15" s="103">
        <v>45474</v>
      </c>
      <c r="F15" s="103">
        <v>45838</v>
      </c>
      <c r="G15" t="s">
        <v>351</v>
      </c>
    </row>
    <row r="16" spans="1:7" x14ac:dyDescent="0.3">
      <c r="A16" t="s">
        <v>289</v>
      </c>
      <c r="B16" t="s">
        <v>333</v>
      </c>
      <c r="C16" t="s">
        <v>331</v>
      </c>
      <c r="D16" t="s">
        <v>288</v>
      </c>
      <c r="E16" s="103">
        <v>46023</v>
      </c>
      <c r="F16" s="103">
        <v>46752</v>
      </c>
      <c r="G16" t="s">
        <v>352</v>
      </c>
    </row>
    <row r="17" spans="1:7" x14ac:dyDescent="0.3">
      <c r="A17" t="s">
        <v>281</v>
      </c>
      <c r="B17" t="s">
        <v>332</v>
      </c>
      <c r="C17" t="s">
        <v>533</v>
      </c>
      <c r="D17" t="s">
        <v>261</v>
      </c>
      <c r="E17" s="103">
        <v>45536</v>
      </c>
      <c r="F17" s="103">
        <v>46326</v>
      </c>
      <c r="G17" t="s">
        <v>351</v>
      </c>
    </row>
    <row r="18" spans="1:7" x14ac:dyDescent="0.3">
      <c r="A18" t="s">
        <v>341</v>
      </c>
      <c r="B18" t="s">
        <v>342</v>
      </c>
      <c r="C18" t="s">
        <v>350</v>
      </c>
      <c r="D18" t="s">
        <v>261</v>
      </c>
      <c r="E18" s="103">
        <v>45560</v>
      </c>
      <c r="F18" s="103">
        <v>46290</v>
      </c>
      <c r="G18" t="s">
        <v>352</v>
      </c>
    </row>
    <row r="19" spans="1:7" x14ac:dyDescent="0.3">
      <c r="A19" t="s">
        <v>341</v>
      </c>
      <c r="B19" t="s">
        <v>343</v>
      </c>
      <c r="C19" t="s">
        <v>344</v>
      </c>
      <c r="D19" t="s">
        <v>261</v>
      </c>
      <c r="E19" s="103">
        <v>45813</v>
      </c>
      <c r="F19" s="103">
        <v>46361</v>
      </c>
      <c r="G19" t="s">
        <v>352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8E3E9-7456-4246-B0D9-DA945AF5AC46}">
  <dimension ref="A1:Q100"/>
  <sheetViews>
    <sheetView zoomScale="90" zoomScaleNormal="90" workbookViewId="0">
      <pane ySplit="1" topLeftCell="A58" activePane="bottomLeft" state="frozen"/>
      <selection pane="bottomLeft" activeCell="Q61" sqref="Q61"/>
    </sheetView>
  </sheetViews>
  <sheetFormatPr defaultRowHeight="15.6" x14ac:dyDescent="0.3"/>
  <cols>
    <col min="1" max="1" width="8.796875" style="67"/>
    <col min="2" max="2" width="16.69921875" style="58" customWidth="1"/>
    <col min="3" max="3" width="35.59765625" style="58" customWidth="1"/>
    <col min="4" max="4" width="16.59765625" style="58" customWidth="1"/>
    <col min="5" max="5" width="12.19921875" style="58" customWidth="1"/>
    <col min="6" max="6" width="8.796875" style="58"/>
    <col min="7" max="7" width="11.796875" style="58" customWidth="1"/>
    <col min="8" max="8" width="11.8984375" style="58" customWidth="1"/>
    <col min="9" max="9" width="12.8984375" style="58" customWidth="1"/>
    <col min="10" max="10" width="12.09765625" style="58" customWidth="1"/>
    <col min="11" max="11" width="12.796875" style="58" customWidth="1"/>
    <col min="12" max="12" width="12.296875" style="58" customWidth="1"/>
    <col min="13" max="13" width="41.3984375" style="58" customWidth="1"/>
    <col min="14" max="14" width="11.09765625" style="58" customWidth="1"/>
    <col min="15" max="15" width="8.796875" style="58"/>
    <col min="16" max="16" width="14.69921875" style="58" bestFit="1" customWidth="1"/>
    <col min="17" max="17" width="13.09765625" style="67" bestFit="1" customWidth="1"/>
    <col min="18" max="16384" width="8.796875" style="67"/>
  </cols>
  <sheetData>
    <row r="1" spans="1:17" ht="28.8" x14ac:dyDescent="0.3">
      <c r="A1" s="73" t="s">
        <v>280</v>
      </c>
      <c r="B1" s="73" t="s">
        <v>188</v>
      </c>
      <c r="C1" s="73" t="s">
        <v>189</v>
      </c>
      <c r="D1" s="73" t="s">
        <v>190</v>
      </c>
      <c r="E1" s="73" t="s">
        <v>191</v>
      </c>
      <c r="F1" s="73" t="s">
        <v>60</v>
      </c>
      <c r="G1" s="165" t="s">
        <v>376</v>
      </c>
      <c r="H1" s="165" t="s">
        <v>377</v>
      </c>
      <c r="I1" s="165" t="s">
        <v>378</v>
      </c>
      <c r="J1" s="165" t="s">
        <v>379</v>
      </c>
      <c r="K1" s="165" t="s">
        <v>380</v>
      </c>
      <c r="L1" s="165" t="s">
        <v>381</v>
      </c>
      <c r="M1" s="73" t="s">
        <v>192</v>
      </c>
      <c r="N1" s="73" t="s">
        <v>193</v>
      </c>
      <c r="O1" s="73" t="s">
        <v>194</v>
      </c>
      <c r="P1" s="74" t="s">
        <v>195</v>
      </c>
      <c r="Q1" s="74" t="s">
        <v>285</v>
      </c>
    </row>
    <row r="2" spans="1:17" x14ac:dyDescent="0.3">
      <c r="A2" s="102" t="s">
        <v>88</v>
      </c>
      <c r="B2" s="75" t="s">
        <v>196</v>
      </c>
      <c r="C2" s="76" t="s">
        <v>197</v>
      </c>
      <c r="D2" s="77" t="s">
        <v>198</v>
      </c>
      <c r="E2" s="77" t="s">
        <v>199</v>
      </c>
      <c r="F2" s="77" t="s">
        <v>200</v>
      </c>
      <c r="G2" s="156">
        <v>45747</v>
      </c>
      <c r="H2" s="156">
        <v>45827</v>
      </c>
      <c r="I2" s="138">
        <v>46143</v>
      </c>
      <c r="J2" s="138">
        <v>46160</v>
      </c>
      <c r="K2" s="78">
        <v>46143</v>
      </c>
      <c r="L2" s="78">
        <v>46160</v>
      </c>
      <c r="M2" s="77" t="s">
        <v>201</v>
      </c>
      <c r="N2" s="76" t="s">
        <v>74</v>
      </c>
      <c r="O2" s="79">
        <v>1</v>
      </c>
      <c r="P2" s="206">
        <f>SUM(O2:O7)/6</f>
        <v>1</v>
      </c>
    </row>
    <row r="3" spans="1:17" x14ac:dyDescent="0.3">
      <c r="A3" s="102" t="s">
        <v>88</v>
      </c>
      <c r="B3" s="80" t="s">
        <v>196</v>
      </c>
      <c r="C3" s="76" t="s">
        <v>202</v>
      </c>
      <c r="D3" s="77" t="s">
        <v>198</v>
      </c>
      <c r="E3" s="77" t="s">
        <v>199</v>
      </c>
      <c r="F3" s="77" t="s">
        <v>200</v>
      </c>
      <c r="G3" s="156">
        <v>45747</v>
      </c>
      <c r="H3" s="156">
        <v>45827</v>
      </c>
      <c r="I3" s="138">
        <v>46161</v>
      </c>
      <c r="J3" s="138">
        <v>46170</v>
      </c>
      <c r="K3" s="78">
        <v>46161</v>
      </c>
      <c r="L3" s="78">
        <v>46170</v>
      </c>
      <c r="M3" s="77" t="s">
        <v>201</v>
      </c>
      <c r="N3" s="76" t="s">
        <v>74</v>
      </c>
      <c r="O3" s="79">
        <v>1</v>
      </c>
      <c r="P3" s="206"/>
    </row>
    <row r="4" spans="1:17" x14ac:dyDescent="0.3">
      <c r="A4" s="102" t="s">
        <v>88</v>
      </c>
      <c r="B4" s="75" t="s">
        <v>196</v>
      </c>
      <c r="C4" s="76" t="s">
        <v>203</v>
      </c>
      <c r="D4" s="77" t="s">
        <v>198</v>
      </c>
      <c r="E4" s="77" t="s">
        <v>199</v>
      </c>
      <c r="F4" s="77" t="s">
        <v>200</v>
      </c>
      <c r="G4" s="156">
        <v>45747</v>
      </c>
      <c r="H4" s="156">
        <v>45827</v>
      </c>
      <c r="I4" s="138">
        <v>46171</v>
      </c>
      <c r="J4" s="138">
        <v>46180</v>
      </c>
      <c r="K4" s="78">
        <v>46171</v>
      </c>
      <c r="L4" s="78">
        <v>46180</v>
      </c>
      <c r="M4" s="77" t="s">
        <v>201</v>
      </c>
      <c r="N4" s="76" t="s">
        <v>74</v>
      </c>
      <c r="O4" s="79">
        <v>1</v>
      </c>
      <c r="P4" s="206"/>
    </row>
    <row r="5" spans="1:17" x14ac:dyDescent="0.3">
      <c r="A5" s="102" t="s">
        <v>88</v>
      </c>
      <c r="B5" s="80" t="s">
        <v>196</v>
      </c>
      <c r="C5" s="76" t="s">
        <v>204</v>
      </c>
      <c r="D5" s="77" t="s">
        <v>198</v>
      </c>
      <c r="E5" s="77" t="s">
        <v>199</v>
      </c>
      <c r="F5" s="77" t="s">
        <v>200</v>
      </c>
      <c r="G5" s="156">
        <v>45747</v>
      </c>
      <c r="H5" s="156">
        <v>45827</v>
      </c>
      <c r="I5" s="138">
        <v>46181</v>
      </c>
      <c r="J5" s="138">
        <v>46190</v>
      </c>
      <c r="K5" s="78">
        <v>46181</v>
      </c>
      <c r="L5" s="78">
        <v>46190</v>
      </c>
      <c r="M5" s="77" t="s">
        <v>201</v>
      </c>
      <c r="N5" s="76" t="s">
        <v>74</v>
      </c>
      <c r="O5" s="79">
        <v>1</v>
      </c>
      <c r="P5" s="206"/>
    </row>
    <row r="6" spans="1:17" x14ac:dyDescent="0.3">
      <c r="A6" s="102" t="s">
        <v>88</v>
      </c>
      <c r="B6" s="75" t="s">
        <v>196</v>
      </c>
      <c r="C6" s="76" t="s">
        <v>205</v>
      </c>
      <c r="D6" s="77" t="s">
        <v>198</v>
      </c>
      <c r="E6" s="77" t="s">
        <v>199</v>
      </c>
      <c r="F6" s="77" t="s">
        <v>200</v>
      </c>
      <c r="G6" s="156">
        <v>45747</v>
      </c>
      <c r="H6" s="156">
        <v>45827</v>
      </c>
      <c r="I6" s="138">
        <v>46191</v>
      </c>
      <c r="J6" s="138">
        <v>46200</v>
      </c>
      <c r="K6" s="78">
        <v>46191</v>
      </c>
      <c r="L6" s="78">
        <v>46200</v>
      </c>
      <c r="M6" s="77" t="s">
        <v>201</v>
      </c>
      <c r="N6" s="76" t="s">
        <v>74</v>
      </c>
      <c r="O6" s="79">
        <v>1</v>
      </c>
      <c r="P6" s="206"/>
    </row>
    <row r="7" spans="1:17" x14ac:dyDescent="0.3">
      <c r="A7" s="102" t="s">
        <v>88</v>
      </c>
      <c r="B7" s="80" t="s">
        <v>196</v>
      </c>
      <c r="C7" s="76" t="s">
        <v>206</v>
      </c>
      <c r="D7" s="77" t="s">
        <v>198</v>
      </c>
      <c r="E7" s="77" t="s">
        <v>199</v>
      </c>
      <c r="F7" s="77" t="s">
        <v>200</v>
      </c>
      <c r="G7" s="156">
        <v>45747</v>
      </c>
      <c r="H7" s="156">
        <v>45827</v>
      </c>
      <c r="I7" s="138">
        <v>46201</v>
      </c>
      <c r="J7" s="138">
        <v>46203</v>
      </c>
      <c r="K7" s="78">
        <v>46201</v>
      </c>
      <c r="L7" s="78">
        <v>46203</v>
      </c>
      <c r="M7" s="77" t="s">
        <v>201</v>
      </c>
      <c r="N7" s="76" t="s">
        <v>74</v>
      </c>
      <c r="O7" s="79">
        <v>1</v>
      </c>
      <c r="P7" s="206"/>
    </row>
    <row r="8" spans="1:17" x14ac:dyDescent="0.3">
      <c r="A8" s="102" t="s">
        <v>88</v>
      </c>
      <c r="B8" s="207" t="s">
        <v>196</v>
      </c>
      <c r="C8" s="208" t="s">
        <v>366</v>
      </c>
      <c r="D8" s="211" t="s">
        <v>198</v>
      </c>
      <c r="E8" s="211" t="s">
        <v>199</v>
      </c>
      <c r="F8" s="211" t="s">
        <v>200</v>
      </c>
      <c r="G8" s="254">
        <v>46192</v>
      </c>
      <c r="H8" s="254">
        <v>45829</v>
      </c>
      <c r="I8" s="212">
        <v>46204</v>
      </c>
      <c r="J8" s="212">
        <v>46210</v>
      </c>
      <c r="K8" s="212">
        <v>46204</v>
      </c>
      <c r="L8" s="212">
        <v>46210</v>
      </c>
      <c r="M8" s="211" t="s">
        <v>208</v>
      </c>
      <c r="N8" s="241" t="s">
        <v>74</v>
      </c>
      <c r="O8" s="242">
        <v>1</v>
      </c>
      <c r="P8" s="239">
        <f>SUM(O8:O15)/5</f>
        <v>0.6</v>
      </c>
    </row>
    <row r="9" spans="1:17" ht="28.8" customHeight="1" x14ac:dyDescent="0.3">
      <c r="A9" s="102" t="s">
        <v>88</v>
      </c>
      <c r="B9" s="207"/>
      <c r="C9" s="209"/>
      <c r="D9" s="211"/>
      <c r="E9" s="211"/>
      <c r="F9" s="211"/>
      <c r="G9" s="255"/>
      <c r="H9" s="255"/>
      <c r="I9" s="212"/>
      <c r="J9" s="212"/>
      <c r="K9" s="212"/>
      <c r="L9" s="212"/>
      <c r="M9" s="211"/>
      <c r="N9" s="241"/>
      <c r="O9" s="242"/>
      <c r="P9" s="239"/>
    </row>
    <row r="10" spans="1:17" x14ac:dyDescent="0.3">
      <c r="A10" s="102" t="s">
        <v>88</v>
      </c>
      <c r="B10" s="207"/>
      <c r="C10" s="209"/>
      <c r="D10" s="211"/>
      <c r="E10" s="211"/>
      <c r="F10" s="211"/>
      <c r="G10" s="255"/>
      <c r="H10" s="255"/>
      <c r="I10" s="212"/>
      <c r="J10" s="212"/>
      <c r="K10" s="212"/>
      <c r="L10" s="212"/>
      <c r="M10" s="211"/>
      <c r="N10" s="241"/>
      <c r="O10" s="242"/>
      <c r="P10" s="239"/>
    </row>
    <row r="11" spans="1:17" x14ac:dyDescent="0.3">
      <c r="A11" s="102" t="s">
        <v>88</v>
      </c>
      <c r="B11" s="207"/>
      <c r="C11" s="210"/>
      <c r="D11" s="211"/>
      <c r="E11" s="211"/>
      <c r="F11" s="211"/>
      <c r="G11" s="256"/>
      <c r="H11" s="256"/>
      <c r="I11" s="212"/>
      <c r="J11" s="212"/>
      <c r="K11" s="212"/>
      <c r="L11" s="212"/>
      <c r="M11" s="211"/>
      <c r="N11" s="241"/>
      <c r="O11" s="242"/>
      <c r="P11" s="239"/>
    </row>
    <row r="12" spans="1:17" x14ac:dyDescent="0.3">
      <c r="A12" s="102" t="s">
        <v>88</v>
      </c>
      <c r="B12" s="80" t="s">
        <v>196</v>
      </c>
      <c r="C12" s="76" t="s">
        <v>359</v>
      </c>
      <c r="D12" s="77" t="s">
        <v>198</v>
      </c>
      <c r="E12" s="77" t="s">
        <v>199</v>
      </c>
      <c r="F12" s="77" t="s">
        <v>200</v>
      </c>
      <c r="G12" s="156">
        <v>45827</v>
      </c>
      <c r="H12" s="156">
        <v>45829</v>
      </c>
      <c r="I12" s="138">
        <v>46211</v>
      </c>
      <c r="J12" s="138">
        <v>46216</v>
      </c>
      <c r="K12" s="78">
        <v>46212</v>
      </c>
      <c r="L12" s="141">
        <v>46212</v>
      </c>
      <c r="M12" s="77" t="s">
        <v>210</v>
      </c>
      <c r="N12" s="76" t="s">
        <v>74</v>
      </c>
      <c r="O12" s="79">
        <v>1</v>
      </c>
      <c r="P12" s="239"/>
    </row>
    <row r="13" spans="1:17" x14ac:dyDescent="0.3">
      <c r="A13" s="102" t="s">
        <v>88</v>
      </c>
      <c r="B13" s="75" t="s">
        <v>196</v>
      </c>
      <c r="C13" s="76" t="s">
        <v>212</v>
      </c>
      <c r="D13" s="77" t="s">
        <v>198</v>
      </c>
      <c r="E13" s="77" t="s">
        <v>199</v>
      </c>
      <c r="F13" s="77" t="s">
        <v>200</v>
      </c>
      <c r="G13" s="156">
        <v>45831</v>
      </c>
      <c r="H13" s="156">
        <v>45833</v>
      </c>
      <c r="I13" s="138">
        <v>46217</v>
      </c>
      <c r="J13" s="138">
        <v>46219</v>
      </c>
      <c r="K13" s="78">
        <v>46231</v>
      </c>
      <c r="L13" s="138">
        <v>46231</v>
      </c>
      <c r="M13" s="77" t="s">
        <v>210</v>
      </c>
      <c r="N13" s="76" t="s">
        <v>74</v>
      </c>
      <c r="O13" s="79">
        <v>1</v>
      </c>
      <c r="P13" s="239"/>
    </row>
    <row r="14" spans="1:17" x14ac:dyDescent="0.3">
      <c r="A14" s="102" t="s">
        <v>88</v>
      </c>
      <c r="B14" s="137" t="s">
        <v>196</v>
      </c>
      <c r="C14" s="134" t="s">
        <v>358</v>
      </c>
      <c r="D14" s="133" t="s">
        <v>198</v>
      </c>
      <c r="E14" s="133" t="s">
        <v>241</v>
      </c>
      <c r="F14" s="133" t="s">
        <v>200</v>
      </c>
      <c r="G14" s="156">
        <v>45834</v>
      </c>
      <c r="H14" s="156">
        <v>45836</v>
      </c>
      <c r="I14" s="138">
        <v>46219</v>
      </c>
      <c r="J14" s="138">
        <v>46221</v>
      </c>
      <c r="K14" s="138">
        <v>46342</v>
      </c>
      <c r="L14" s="138">
        <v>46342</v>
      </c>
      <c r="M14" s="133" t="s">
        <v>210</v>
      </c>
      <c r="N14" s="134" t="s">
        <v>211</v>
      </c>
      <c r="O14" s="135">
        <v>0</v>
      </c>
      <c r="P14" s="239"/>
    </row>
    <row r="15" spans="1:17" x14ac:dyDescent="0.3">
      <c r="A15" s="102" t="s">
        <v>88</v>
      </c>
      <c r="B15" s="80" t="s">
        <v>196</v>
      </c>
      <c r="C15" s="76" t="s">
        <v>360</v>
      </c>
      <c r="D15" s="77" t="s">
        <v>198</v>
      </c>
      <c r="E15" s="181" t="s">
        <v>241</v>
      </c>
      <c r="F15" s="77" t="s">
        <v>200</v>
      </c>
      <c r="G15" s="156">
        <v>45838</v>
      </c>
      <c r="H15" s="156">
        <v>45839</v>
      </c>
      <c r="I15" s="138">
        <v>46233</v>
      </c>
      <c r="J15" s="138">
        <v>46233</v>
      </c>
      <c r="K15" s="78">
        <v>46352</v>
      </c>
      <c r="L15" s="78">
        <v>46353</v>
      </c>
      <c r="M15" s="77" t="s">
        <v>210</v>
      </c>
      <c r="N15" s="76" t="s">
        <v>211</v>
      </c>
      <c r="O15" s="79">
        <v>0</v>
      </c>
      <c r="P15" s="239"/>
    </row>
    <row r="16" spans="1:17" x14ac:dyDescent="0.3">
      <c r="A16" s="102" t="s">
        <v>88</v>
      </c>
      <c r="B16" s="81" t="s">
        <v>214</v>
      </c>
      <c r="C16" s="82" t="s">
        <v>215</v>
      </c>
      <c r="D16" s="83" t="s">
        <v>198</v>
      </c>
      <c r="E16" s="83" t="s">
        <v>199</v>
      </c>
      <c r="F16" s="83" t="s">
        <v>200</v>
      </c>
      <c r="G16" s="157">
        <v>45747</v>
      </c>
      <c r="H16" s="157">
        <v>45827</v>
      </c>
      <c r="I16" s="130">
        <v>46143</v>
      </c>
      <c r="J16" s="130">
        <v>46154</v>
      </c>
      <c r="K16" s="84">
        <v>46143</v>
      </c>
      <c r="L16" s="84">
        <v>46154</v>
      </c>
      <c r="M16" s="83" t="s">
        <v>216</v>
      </c>
      <c r="N16" s="82" t="s">
        <v>74</v>
      </c>
      <c r="O16" s="85">
        <v>1</v>
      </c>
      <c r="P16" s="240">
        <f>SUM(O16:O20)/5</f>
        <v>1</v>
      </c>
    </row>
    <row r="17" spans="1:16" x14ac:dyDescent="0.3">
      <c r="A17" s="102" t="s">
        <v>88</v>
      </c>
      <c r="B17" s="86" t="s">
        <v>214</v>
      </c>
      <c r="C17" s="82" t="s">
        <v>217</v>
      </c>
      <c r="D17" s="83" t="s">
        <v>198</v>
      </c>
      <c r="E17" s="83" t="s">
        <v>199</v>
      </c>
      <c r="F17" s="83" t="s">
        <v>200</v>
      </c>
      <c r="G17" s="157">
        <v>45747</v>
      </c>
      <c r="H17" s="157">
        <v>45827</v>
      </c>
      <c r="I17" s="130">
        <v>46155</v>
      </c>
      <c r="J17" s="130">
        <v>46166</v>
      </c>
      <c r="K17" s="84">
        <v>46155</v>
      </c>
      <c r="L17" s="84">
        <v>46166</v>
      </c>
      <c r="M17" s="83" t="s">
        <v>216</v>
      </c>
      <c r="N17" s="82" t="s">
        <v>74</v>
      </c>
      <c r="O17" s="85">
        <v>1</v>
      </c>
      <c r="P17" s="240"/>
    </row>
    <row r="18" spans="1:16" x14ac:dyDescent="0.3">
      <c r="A18" s="102" t="s">
        <v>88</v>
      </c>
      <c r="B18" s="81" t="s">
        <v>214</v>
      </c>
      <c r="C18" s="82" t="s">
        <v>218</v>
      </c>
      <c r="D18" s="83" t="s">
        <v>198</v>
      </c>
      <c r="E18" s="83" t="s">
        <v>199</v>
      </c>
      <c r="F18" s="83" t="s">
        <v>200</v>
      </c>
      <c r="G18" s="157">
        <v>45747</v>
      </c>
      <c r="H18" s="157">
        <v>45827</v>
      </c>
      <c r="I18" s="130">
        <v>46167</v>
      </c>
      <c r="J18" s="130">
        <v>46178</v>
      </c>
      <c r="K18" s="84">
        <v>46167</v>
      </c>
      <c r="L18" s="84">
        <v>46178</v>
      </c>
      <c r="M18" s="83" t="s">
        <v>216</v>
      </c>
      <c r="N18" s="82" t="s">
        <v>74</v>
      </c>
      <c r="O18" s="85">
        <v>1</v>
      </c>
      <c r="P18" s="240"/>
    </row>
    <row r="19" spans="1:16" x14ac:dyDescent="0.3">
      <c r="A19" s="102" t="s">
        <v>88</v>
      </c>
      <c r="B19" s="86" t="s">
        <v>214</v>
      </c>
      <c r="C19" s="82" t="s">
        <v>219</v>
      </c>
      <c r="D19" s="83" t="s">
        <v>198</v>
      </c>
      <c r="E19" s="83" t="s">
        <v>199</v>
      </c>
      <c r="F19" s="83" t="s">
        <v>200</v>
      </c>
      <c r="G19" s="157">
        <v>45747</v>
      </c>
      <c r="H19" s="157">
        <v>45827</v>
      </c>
      <c r="I19" s="130">
        <v>46179</v>
      </c>
      <c r="J19" s="130">
        <v>46190</v>
      </c>
      <c r="K19" s="84">
        <v>46179</v>
      </c>
      <c r="L19" s="84">
        <v>46190</v>
      </c>
      <c r="M19" s="83" t="s">
        <v>216</v>
      </c>
      <c r="N19" s="82" t="s">
        <v>74</v>
      </c>
      <c r="O19" s="85">
        <v>1</v>
      </c>
      <c r="P19" s="240"/>
    </row>
    <row r="20" spans="1:16" x14ac:dyDescent="0.3">
      <c r="A20" s="102" t="s">
        <v>88</v>
      </c>
      <c r="B20" s="81" t="s">
        <v>214</v>
      </c>
      <c r="C20" s="82" t="s">
        <v>220</v>
      </c>
      <c r="D20" s="83" t="s">
        <v>198</v>
      </c>
      <c r="E20" s="83" t="s">
        <v>199</v>
      </c>
      <c r="F20" s="83" t="s">
        <v>200</v>
      </c>
      <c r="G20" s="157">
        <v>45747</v>
      </c>
      <c r="H20" s="157">
        <v>45827</v>
      </c>
      <c r="I20" s="130">
        <v>46191</v>
      </c>
      <c r="J20" s="130">
        <v>46203</v>
      </c>
      <c r="K20" s="84">
        <v>46191</v>
      </c>
      <c r="L20" s="84">
        <v>46203</v>
      </c>
      <c r="M20" s="83" t="s">
        <v>216</v>
      </c>
      <c r="N20" s="82" t="s">
        <v>74</v>
      </c>
      <c r="O20" s="85">
        <v>1</v>
      </c>
      <c r="P20" s="240"/>
    </row>
    <row r="21" spans="1:16" ht="15.6" customHeight="1" x14ac:dyDescent="0.3">
      <c r="A21" s="102" t="s">
        <v>88</v>
      </c>
      <c r="B21" s="213" t="s">
        <v>214</v>
      </c>
      <c r="C21" s="251" t="s">
        <v>365</v>
      </c>
      <c r="D21" s="216" t="s">
        <v>198</v>
      </c>
      <c r="E21" s="216" t="s">
        <v>199</v>
      </c>
      <c r="F21" s="216" t="s">
        <v>200</v>
      </c>
      <c r="G21" s="226">
        <v>45827</v>
      </c>
      <c r="H21" s="226">
        <v>45829</v>
      </c>
      <c r="I21" s="226">
        <v>46204</v>
      </c>
      <c r="J21" s="226">
        <v>46210</v>
      </c>
      <c r="K21" s="226">
        <v>46204</v>
      </c>
      <c r="L21" s="226">
        <v>46210</v>
      </c>
      <c r="M21" s="232" t="s">
        <v>221</v>
      </c>
      <c r="N21" s="232" t="s">
        <v>74</v>
      </c>
      <c r="O21" s="229">
        <v>1</v>
      </c>
      <c r="P21" s="222">
        <f>SUM(O21:O28)/5</f>
        <v>0.6</v>
      </c>
    </row>
    <row r="22" spans="1:16" x14ac:dyDescent="0.3">
      <c r="A22" s="102" t="s">
        <v>88</v>
      </c>
      <c r="B22" s="214"/>
      <c r="C22" s="252"/>
      <c r="D22" s="217"/>
      <c r="E22" s="217"/>
      <c r="F22" s="217"/>
      <c r="G22" s="227"/>
      <c r="H22" s="227"/>
      <c r="I22" s="227"/>
      <c r="J22" s="227"/>
      <c r="K22" s="227"/>
      <c r="L22" s="227"/>
      <c r="M22" s="233"/>
      <c r="N22" s="233"/>
      <c r="O22" s="230"/>
      <c r="P22" s="223"/>
    </row>
    <row r="23" spans="1:16" x14ac:dyDescent="0.3">
      <c r="A23" s="102" t="s">
        <v>88</v>
      </c>
      <c r="B23" s="214"/>
      <c r="C23" s="252"/>
      <c r="D23" s="217"/>
      <c r="E23" s="217"/>
      <c r="F23" s="217"/>
      <c r="G23" s="227"/>
      <c r="H23" s="227"/>
      <c r="I23" s="227"/>
      <c r="J23" s="227"/>
      <c r="K23" s="227"/>
      <c r="L23" s="227"/>
      <c r="M23" s="233"/>
      <c r="N23" s="233"/>
      <c r="O23" s="230"/>
      <c r="P23" s="223"/>
    </row>
    <row r="24" spans="1:16" ht="27.6" customHeight="1" x14ac:dyDescent="0.3">
      <c r="A24" s="102" t="s">
        <v>88</v>
      </c>
      <c r="B24" s="215"/>
      <c r="C24" s="253"/>
      <c r="D24" s="218"/>
      <c r="E24" s="218"/>
      <c r="F24" s="218"/>
      <c r="G24" s="228"/>
      <c r="H24" s="228"/>
      <c r="I24" s="228"/>
      <c r="J24" s="228"/>
      <c r="K24" s="228"/>
      <c r="L24" s="228"/>
      <c r="M24" s="234"/>
      <c r="N24" s="234"/>
      <c r="O24" s="231"/>
      <c r="P24" s="223"/>
    </row>
    <row r="25" spans="1:16" ht="28.8" x14ac:dyDescent="0.3">
      <c r="A25" s="102" t="s">
        <v>88</v>
      </c>
      <c r="B25" s="81" t="s">
        <v>214</v>
      </c>
      <c r="C25" s="136" t="s">
        <v>361</v>
      </c>
      <c r="D25" s="140" t="s">
        <v>198</v>
      </c>
      <c r="E25" s="140" t="s">
        <v>199</v>
      </c>
      <c r="F25" s="140" t="s">
        <v>200</v>
      </c>
      <c r="G25" s="157">
        <v>45827</v>
      </c>
      <c r="H25" s="157">
        <v>45829</v>
      </c>
      <c r="I25" s="130">
        <v>46211</v>
      </c>
      <c r="J25" s="130">
        <v>46212</v>
      </c>
      <c r="K25" s="130">
        <v>46212</v>
      </c>
      <c r="L25" s="130">
        <v>46212</v>
      </c>
      <c r="M25" s="136" t="s">
        <v>222</v>
      </c>
      <c r="N25" s="136" t="s">
        <v>74</v>
      </c>
      <c r="O25" s="132">
        <v>1</v>
      </c>
      <c r="P25" s="223"/>
    </row>
    <row r="26" spans="1:16" ht="28.8" x14ac:dyDescent="0.3">
      <c r="A26" s="102" t="s">
        <v>88</v>
      </c>
      <c r="B26" s="139" t="s">
        <v>214</v>
      </c>
      <c r="C26" s="136" t="s">
        <v>223</v>
      </c>
      <c r="D26" s="140" t="s">
        <v>198</v>
      </c>
      <c r="E26" s="140" t="s">
        <v>199</v>
      </c>
      <c r="F26" s="140" t="s">
        <v>200</v>
      </c>
      <c r="G26" s="157">
        <v>45831</v>
      </c>
      <c r="H26" s="157">
        <v>45833</v>
      </c>
      <c r="I26" s="130">
        <v>46217</v>
      </c>
      <c r="J26" s="130">
        <v>46219</v>
      </c>
      <c r="K26" s="130">
        <v>46232</v>
      </c>
      <c r="L26" s="130">
        <v>46232</v>
      </c>
      <c r="M26" s="136" t="s">
        <v>222</v>
      </c>
      <c r="N26" s="136" t="s">
        <v>74</v>
      </c>
      <c r="O26" s="132">
        <v>1</v>
      </c>
      <c r="P26" s="223"/>
    </row>
    <row r="27" spans="1:16" ht="28.8" x14ac:dyDescent="0.3">
      <c r="A27" s="102" t="s">
        <v>88</v>
      </c>
      <c r="B27" s="139" t="s">
        <v>214</v>
      </c>
      <c r="C27" s="136" t="s">
        <v>362</v>
      </c>
      <c r="D27" s="140" t="s">
        <v>198</v>
      </c>
      <c r="E27" s="140" t="s">
        <v>241</v>
      </c>
      <c r="F27" s="140" t="s">
        <v>200</v>
      </c>
      <c r="G27" s="157">
        <v>45834</v>
      </c>
      <c r="H27" s="157">
        <v>45836</v>
      </c>
      <c r="I27" s="130">
        <v>46219</v>
      </c>
      <c r="J27" s="130">
        <v>46221</v>
      </c>
      <c r="K27" s="130">
        <v>46314</v>
      </c>
      <c r="L27" s="130">
        <v>46314</v>
      </c>
      <c r="M27" s="136" t="s">
        <v>222</v>
      </c>
      <c r="N27" s="136" t="s">
        <v>211</v>
      </c>
      <c r="O27" s="132">
        <v>0</v>
      </c>
      <c r="P27" s="223"/>
    </row>
    <row r="28" spans="1:16" ht="28.8" x14ac:dyDescent="0.3">
      <c r="A28" s="102" t="s">
        <v>88</v>
      </c>
      <c r="B28" s="81" t="s">
        <v>214</v>
      </c>
      <c r="C28" s="136" t="s">
        <v>213</v>
      </c>
      <c r="D28" s="140" t="s">
        <v>198</v>
      </c>
      <c r="E28" s="140" t="s">
        <v>241</v>
      </c>
      <c r="F28" s="140" t="s">
        <v>200</v>
      </c>
      <c r="G28" s="157">
        <v>45838</v>
      </c>
      <c r="H28" s="157">
        <v>45839</v>
      </c>
      <c r="I28" s="130">
        <v>46233</v>
      </c>
      <c r="J28" s="130">
        <v>46233</v>
      </c>
      <c r="K28" s="130">
        <v>46352</v>
      </c>
      <c r="L28" s="130">
        <v>46353</v>
      </c>
      <c r="M28" s="136" t="s">
        <v>222</v>
      </c>
      <c r="N28" s="136" t="s">
        <v>211</v>
      </c>
      <c r="O28" s="132">
        <v>0</v>
      </c>
      <c r="P28" s="224"/>
    </row>
    <row r="29" spans="1:16" x14ac:dyDescent="0.3">
      <c r="A29" s="102" t="s">
        <v>88</v>
      </c>
      <c r="B29" s="87" t="s">
        <v>225</v>
      </c>
      <c r="C29" s="127" t="s">
        <v>226</v>
      </c>
      <c r="D29" s="89" t="s">
        <v>198</v>
      </c>
      <c r="E29" s="89" t="s">
        <v>199</v>
      </c>
      <c r="F29" s="89" t="s">
        <v>200</v>
      </c>
      <c r="G29" s="158">
        <v>45747</v>
      </c>
      <c r="H29" s="158">
        <v>45827</v>
      </c>
      <c r="I29" s="129">
        <v>46143</v>
      </c>
      <c r="J29" s="129">
        <v>46149</v>
      </c>
      <c r="K29" s="90">
        <v>46143</v>
      </c>
      <c r="L29" s="90">
        <v>46149</v>
      </c>
      <c r="M29" s="89" t="s">
        <v>227</v>
      </c>
      <c r="N29" s="88" t="s">
        <v>74</v>
      </c>
      <c r="O29" s="91">
        <v>1</v>
      </c>
      <c r="P29" s="225">
        <f>SUM(O29:O36)/8</f>
        <v>1</v>
      </c>
    </row>
    <row r="30" spans="1:16" x14ac:dyDescent="0.3">
      <c r="A30" s="102" t="s">
        <v>88</v>
      </c>
      <c r="B30" s="92" t="s">
        <v>225</v>
      </c>
      <c r="C30" s="88" t="s">
        <v>228</v>
      </c>
      <c r="D30" s="89" t="s">
        <v>198</v>
      </c>
      <c r="E30" s="126" t="s">
        <v>199</v>
      </c>
      <c r="F30" s="89" t="s">
        <v>200</v>
      </c>
      <c r="G30" s="158">
        <v>45747</v>
      </c>
      <c r="H30" s="158">
        <v>45827</v>
      </c>
      <c r="I30" s="129">
        <v>46150</v>
      </c>
      <c r="J30" s="129">
        <v>46156</v>
      </c>
      <c r="K30" s="90">
        <v>46150</v>
      </c>
      <c r="L30" s="90">
        <v>46156</v>
      </c>
      <c r="M30" s="89" t="s">
        <v>227</v>
      </c>
      <c r="N30" s="88" t="s">
        <v>74</v>
      </c>
      <c r="O30" s="91">
        <v>1</v>
      </c>
      <c r="P30" s="225"/>
    </row>
    <row r="31" spans="1:16" x14ac:dyDescent="0.3">
      <c r="A31" s="102" t="s">
        <v>88</v>
      </c>
      <c r="B31" s="87" t="s">
        <v>225</v>
      </c>
      <c r="C31" s="88" t="s">
        <v>229</v>
      </c>
      <c r="D31" s="89" t="s">
        <v>198</v>
      </c>
      <c r="E31" s="126" t="s">
        <v>199</v>
      </c>
      <c r="F31" s="89" t="s">
        <v>200</v>
      </c>
      <c r="G31" s="158">
        <v>45747</v>
      </c>
      <c r="H31" s="158">
        <v>45827</v>
      </c>
      <c r="I31" s="129">
        <v>46157</v>
      </c>
      <c r="J31" s="129">
        <v>46163</v>
      </c>
      <c r="K31" s="90">
        <v>46157</v>
      </c>
      <c r="L31" s="90">
        <v>46163</v>
      </c>
      <c r="M31" s="89" t="s">
        <v>227</v>
      </c>
      <c r="N31" s="88" t="s">
        <v>74</v>
      </c>
      <c r="O31" s="91">
        <v>1</v>
      </c>
      <c r="P31" s="225"/>
    </row>
    <row r="32" spans="1:16" x14ac:dyDescent="0.3">
      <c r="A32" s="102" t="s">
        <v>88</v>
      </c>
      <c r="B32" s="92" t="s">
        <v>225</v>
      </c>
      <c r="C32" s="88" t="s">
        <v>230</v>
      </c>
      <c r="D32" s="89" t="s">
        <v>198</v>
      </c>
      <c r="E32" s="126" t="s">
        <v>199</v>
      </c>
      <c r="F32" s="89" t="s">
        <v>200</v>
      </c>
      <c r="G32" s="158">
        <v>45747</v>
      </c>
      <c r="H32" s="158">
        <v>45827</v>
      </c>
      <c r="I32" s="129">
        <v>46164</v>
      </c>
      <c r="J32" s="129">
        <v>46170</v>
      </c>
      <c r="K32" s="90">
        <v>46164</v>
      </c>
      <c r="L32" s="90">
        <v>46170</v>
      </c>
      <c r="M32" s="89" t="s">
        <v>227</v>
      </c>
      <c r="N32" s="88" t="s">
        <v>74</v>
      </c>
      <c r="O32" s="91">
        <v>1</v>
      </c>
      <c r="P32" s="225"/>
    </row>
    <row r="33" spans="1:16" x14ac:dyDescent="0.3">
      <c r="A33" s="102" t="s">
        <v>88</v>
      </c>
      <c r="B33" s="87" t="s">
        <v>225</v>
      </c>
      <c r="C33" s="88" t="s">
        <v>231</v>
      </c>
      <c r="D33" s="89" t="s">
        <v>198</v>
      </c>
      <c r="E33" s="126" t="s">
        <v>199</v>
      </c>
      <c r="F33" s="89" t="s">
        <v>200</v>
      </c>
      <c r="G33" s="158">
        <v>45747</v>
      </c>
      <c r="H33" s="158">
        <v>45827</v>
      </c>
      <c r="I33" s="129">
        <v>46171</v>
      </c>
      <c r="J33" s="129">
        <v>46177</v>
      </c>
      <c r="K33" s="90">
        <v>46171</v>
      </c>
      <c r="L33" s="90">
        <v>46177</v>
      </c>
      <c r="M33" s="89" t="s">
        <v>227</v>
      </c>
      <c r="N33" s="88" t="s">
        <v>74</v>
      </c>
      <c r="O33" s="91">
        <v>1</v>
      </c>
      <c r="P33" s="225"/>
    </row>
    <row r="34" spans="1:16" x14ac:dyDescent="0.3">
      <c r="A34" s="102" t="s">
        <v>88</v>
      </c>
      <c r="B34" s="92" t="s">
        <v>225</v>
      </c>
      <c r="C34" s="88" t="s">
        <v>232</v>
      </c>
      <c r="D34" s="89" t="s">
        <v>198</v>
      </c>
      <c r="E34" s="126" t="s">
        <v>199</v>
      </c>
      <c r="F34" s="89" t="s">
        <v>200</v>
      </c>
      <c r="G34" s="158">
        <v>45747</v>
      </c>
      <c r="H34" s="158">
        <v>45827</v>
      </c>
      <c r="I34" s="129">
        <v>46178</v>
      </c>
      <c r="J34" s="129">
        <v>46184</v>
      </c>
      <c r="K34" s="90">
        <v>46178</v>
      </c>
      <c r="L34" s="90">
        <v>46184</v>
      </c>
      <c r="M34" s="89" t="s">
        <v>227</v>
      </c>
      <c r="N34" s="127" t="s">
        <v>74</v>
      </c>
      <c r="O34" s="91">
        <v>1</v>
      </c>
      <c r="P34" s="225"/>
    </row>
    <row r="35" spans="1:16" x14ac:dyDescent="0.3">
      <c r="A35" s="102" t="s">
        <v>88</v>
      </c>
      <c r="B35" s="87" t="s">
        <v>225</v>
      </c>
      <c r="C35" s="88" t="s">
        <v>233</v>
      </c>
      <c r="D35" s="89" t="s">
        <v>198</v>
      </c>
      <c r="E35" s="126" t="s">
        <v>199</v>
      </c>
      <c r="F35" s="89" t="s">
        <v>200</v>
      </c>
      <c r="G35" s="158">
        <v>45747</v>
      </c>
      <c r="H35" s="158">
        <v>45827</v>
      </c>
      <c r="I35" s="129">
        <v>46185</v>
      </c>
      <c r="J35" s="129">
        <v>46191</v>
      </c>
      <c r="K35" s="90">
        <v>46185</v>
      </c>
      <c r="L35" s="90">
        <v>46191</v>
      </c>
      <c r="M35" s="89" t="s">
        <v>227</v>
      </c>
      <c r="N35" s="127" t="s">
        <v>74</v>
      </c>
      <c r="O35" s="91">
        <v>1</v>
      </c>
      <c r="P35" s="225"/>
    </row>
    <row r="36" spans="1:16" x14ac:dyDescent="0.3">
      <c r="A36" s="102" t="s">
        <v>88</v>
      </c>
      <c r="B36" s="92" t="s">
        <v>225</v>
      </c>
      <c r="C36" s="88" t="s">
        <v>234</v>
      </c>
      <c r="D36" s="89" t="s">
        <v>198</v>
      </c>
      <c r="E36" s="126" t="s">
        <v>199</v>
      </c>
      <c r="F36" s="89" t="s">
        <v>200</v>
      </c>
      <c r="G36" s="158">
        <v>45747</v>
      </c>
      <c r="H36" s="158">
        <v>45827</v>
      </c>
      <c r="I36" s="129">
        <v>46192</v>
      </c>
      <c r="J36" s="129">
        <v>46203</v>
      </c>
      <c r="K36" s="90">
        <v>46192</v>
      </c>
      <c r="L36" s="90">
        <v>46203</v>
      </c>
      <c r="M36" s="89" t="s">
        <v>235</v>
      </c>
      <c r="N36" s="127" t="s">
        <v>74</v>
      </c>
      <c r="O36" s="91">
        <v>1</v>
      </c>
      <c r="P36" s="225"/>
    </row>
    <row r="37" spans="1:16" ht="57.6" customHeight="1" x14ac:dyDescent="0.3">
      <c r="A37" s="102" t="s">
        <v>88</v>
      </c>
      <c r="B37" s="238" t="s">
        <v>225</v>
      </c>
      <c r="C37" s="269" t="s">
        <v>367</v>
      </c>
      <c r="D37" s="243" t="s">
        <v>198</v>
      </c>
      <c r="E37" s="243" t="s">
        <v>199</v>
      </c>
      <c r="F37" s="243" t="s">
        <v>200</v>
      </c>
      <c r="G37" s="236">
        <v>45827</v>
      </c>
      <c r="H37" s="236">
        <v>45829</v>
      </c>
      <c r="I37" s="236">
        <v>46204</v>
      </c>
      <c r="J37" s="236">
        <v>46210</v>
      </c>
      <c r="K37" s="236">
        <v>46204</v>
      </c>
      <c r="L37" s="236">
        <v>46210</v>
      </c>
      <c r="M37" s="243" t="s">
        <v>236</v>
      </c>
      <c r="N37" s="245" t="s">
        <v>74</v>
      </c>
      <c r="O37" s="247">
        <v>1</v>
      </c>
      <c r="P37" s="249" cm="1">
        <f t="array" ref="P37">SUM(O37:O43/5)</f>
        <v>0.60000000000000009</v>
      </c>
    </row>
    <row r="38" spans="1:16" x14ac:dyDescent="0.3">
      <c r="A38" s="102" t="s">
        <v>88</v>
      </c>
      <c r="B38" s="238"/>
      <c r="C38" s="270"/>
      <c r="D38" s="244"/>
      <c r="E38" s="244"/>
      <c r="F38" s="244"/>
      <c r="G38" s="237"/>
      <c r="H38" s="237"/>
      <c r="I38" s="237"/>
      <c r="J38" s="237"/>
      <c r="K38" s="237"/>
      <c r="L38" s="237"/>
      <c r="M38" s="244"/>
      <c r="N38" s="246"/>
      <c r="O38" s="248"/>
      <c r="P38" s="250"/>
    </row>
    <row r="39" spans="1:16" x14ac:dyDescent="0.3">
      <c r="A39" s="102" t="s">
        <v>88</v>
      </c>
      <c r="B39" s="238"/>
      <c r="C39" s="271"/>
      <c r="D39" s="244"/>
      <c r="E39" s="244"/>
      <c r="F39" s="244"/>
      <c r="G39" s="237"/>
      <c r="H39" s="237"/>
      <c r="I39" s="237"/>
      <c r="J39" s="237"/>
      <c r="K39" s="237"/>
      <c r="L39" s="237"/>
      <c r="M39" s="244"/>
      <c r="N39" s="246"/>
      <c r="O39" s="248"/>
      <c r="P39" s="250"/>
    </row>
    <row r="40" spans="1:16" x14ac:dyDescent="0.3">
      <c r="A40" s="102" t="s">
        <v>88</v>
      </c>
      <c r="B40" s="92" t="s">
        <v>225</v>
      </c>
      <c r="C40" s="127" t="s">
        <v>363</v>
      </c>
      <c r="D40" s="126" t="s">
        <v>198</v>
      </c>
      <c r="E40" s="126" t="s">
        <v>199</v>
      </c>
      <c r="F40" s="126" t="s">
        <v>200</v>
      </c>
      <c r="G40" s="158">
        <v>45827</v>
      </c>
      <c r="H40" s="158">
        <v>45829</v>
      </c>
      <c r="I40" s="129">
        <v>46211</v>
      </c>
      <c r="J40" s="129">
        <v>46213</v>
      </c>
      <c r="K40" s="129">
        <v>46211</v>
      </c>
      <c r="L40" s="129">
        <v>46216</v>
      </c>
      <c r="M40" s="126" t="s">
        <v>237</v>
      </c>
      <c r="N40" s="127" t="s">
        <v>74</v>
      </c>
      <c r="O40" s="128">
        <v>1</v>
      </c>
      <c r="P40" s="250"/>
    </row>
    <row r="41" spans="1:16" x14ac:dyDescent="0.3">
      <c r="A41" s="102" t="s">
        <v>88</v>
      </c>
      <c r="B41" s="92" t="s">
        <v>225</v>
      </c>
      <c r="C41" s="88" t="s">
        <v>238</v>
      </c>
      <c r="D41" s="89" t="s">
        <v>198</v>
      </c>
      <c r="E41" s="126" t="s">
        <v>199</v>
      </c>
      <c r="F41" s="89" t="s">
        <v>200</v>
      </c>
      <c r="G41" s="158">
        <v>45831</v>
      </c>
      <c r="H41" s="158">
        <v>45833</v>
      </c>
      <c r="I41" s="129">
        <v>46260</v>
      </c>
      <c r="J41" s="129">
        <v>46261</v>
      </c>
      <c r="K41" s="129">
        <v>46260</v>
      </c>
      <c r="L41" s="129">
        <v>46261</v>
      </c>
      <c r="M41" s="89" t="s">
        <v>237</v>
      </c>
      <c r="N41" s="127" t="s">
        <v>74</v>
      </c>
      <c r="O41" s="91">
        <v>1</v>
      </c>
      <c r="P41" s="250"/>
    </row>
    <row r="42" spans="1:16" x14ac:dyDescent="0.3">
      <c r="A42" s="102" t="s">
        <v>88</v>
      </c>
      <c r="B42" s="87" t="s">
        <v>225</v>
      </c>
      <c r="C42" s="127" t="s">
        <v>364</v>
      </c>
      <c r="D42" s="89" t="s">
        <v>198</v>
      </c>
      <c r="E42" s="126" t="s">
        <v>241</v>
      </c>
      <c r="F42" s="89" t="s">
        <v>200</v>
      </c>
      <c r="G42" s="158">
        <v>45834</v>
      </c>
      <c r="H42" s="158">
        <v>45836</v>
      </c>
      <c r="I42" s="129">
        <v>46216</v>
      </c>
      <c r="J42" s="129">
        <v>46218</v>
      </c>
      <c r="K42" s="129">
        <v>46320</v>
      </c>
      <c r="L42" s="129">
        <v>46322</v>
      </c>
      <c r="M42" s="89" t="s">
        <v>237</v>
      </c>
      <c r="N42" s="127" t="s">
        <v>211</v>
      </c>
      <c r="O42" s="91">
        <v>0</v>
      </c>
      <c r="P42" s="250"/>
    </row>
    <row r="43" spans="1:16" x14ac:dyDescent="0.3">
      <c r="A43" s="102" t="s">
        <v>88</v>
      </c>
      <c r="B43" s="131" t="s">
        <v>225</v>
      </c>
      <c r="C43" s="127" t="s">
        <v>260</v>
      </c>
      <c r="D43" s="126" t="s">
        <v>198</v>
      </c>
      <c r="E43" s="126" t="s">
        <v>241</v>
      </c>
      <c r="F43" s="126" t="s">
        <v>200</v>
      </c>
      <c r="G43" s="158">
        <v>45838</v>
      </c>
      <c r="H43" s="158">
        <v>45839</v>
      </c>
      <c r="I43" s="129">
        <v>46233</v>
      </c>
      <c r="J43" s="129">
        <v>46233</v>
      </c>
      <c r="K43" s="129">
        <v>46352</v>
      </c>
      <c r="L43" s="129">
        <v>46353</v>
      </c>
      <c r="M43" s="126" t="s">
        <v>237</v>
      </c>
      <c r="N43" s="127" t="s">
        <v>211</v>
      </c>
      <c r="O43" s="128">
        <v>0</v>
      </c>
      <c r="P43" s="250"/>
    </row>
    <row r="44" spans="1:16" x14ac:dyDescent="0.3">
      <c r="A44" s="102" t="s">
        <v>88</v>
      </c>
      <c r="B44" s="93" t="s">
        <v>239</v>
      </c>
      <c r="C44" s="94" t="s">
        <v>240</v>
      </c>
      <c r="D44" s="93" t="s">
        <v>198</v>
      </c>
      <c r="E44" s="93" t="s">
        <v>199</v>
      </c>
      <c r="F44" s="93" t="s">
        <v>200</v>
      </c>
      <c r="G44" s="159">
        <v>45747</v>
      </c>
      <c r="H44" s="159">
        <v>45827</v>
      </c>
      <c r="I44" s="95">
        <v>46143</v>
      </c>
      <c r="J44" s="95">
        <v>46146</v>
      </c>
      <c r="K44" s="95">
        <v>46143</v>
      </c>
      <c r="L44" s="163">
        <v>46276</v>
      </c>
      <c r="M44" s="93" t="s">
        <v>242</v>
      </c>
      <c r="N44" s="94" t="s">
        <v>74</v>
      </c>
      <c r="O44" s="96">
        <v>1</v>
      </c>
      <c r="P44" s="235">
        <f>SUM(O44:O47)/4</f>
        <v>1</v>
      </c>
    </row>
    <row r="45" spans="1:16" ht="28.8" x14ac:dyDescent="0.3">
      <c r="A45" s="102" t="s">
        <v>88</v>
      </c>
      <c r="B45" s="93" t="s">
        <v>239</v>
      </c>
      <c r="C45" s="94" t="s">
        <v>243</v>
      </c>
      <c r="D45" s="93" t="s">
        <v>198</v>
      </c>
      <c r="E45" s="93" t="s">
        <v>199</v>
      </c>
      <c r="F45" s="93" t="s">
        <v>200</v>
      </c>
      <c r="G45" s="159">
        <v>45747</v>
      </c>
      <c r="H45" s="159">
        <v>45827</v>
      </c>
      <c r="I45" s="95">
        <v>46147</v>
      </c>
      <c r="J45" s="95">
        <v>46150</v>
      </c>
      <c r="K45" s="95">
        <v>46147</v>
      </c>
      <c r="L45" s="163">
        <v>46276</v>
      </c>
      <c r="M45" s="93" t="s">
        <v>242</v>
      </c>
      <c r="N45" s="94" t="s">
        <v>74</v>
      </c>
      <c r="O45" s="96">
        <v>1</v>
      </c>
      <c r="P45" s="235"/>
    </row>
    <row r="46" spans="1:16" ht="28.8" x14ac:dyDescent="0.3">
      <c r="A46" s="102" t="s">
        <v>88</v>
      </c>
      <c r="B46" s="93" t="s">
        <v>239</v>
      </c>
      <c r="C46" s="161" t="s">
        <v>244</v>
      </c>
      <c r="D46" s="162" t="s">
        <v>198</v>
      </c>
      <c r="E46" s="93" t="s">
        <v>199</v>
      </c>
      <c r="F46" s="162" t="s">
        <v>200</v>
      </c>
      <c r="G46" s="159">
        <v>45747</v>
      </c>
      <c r="H46" s="159">
        <v>45827</v>
      </c>
      <c r="I46" s="163">
        <v>46151</v>
      </c>
      <c r="J46" s="163">
        <v>46154</v>
      </c>
      <c r="K46" s="163">
        <v>46151</v>
      </c>
      <c r="L46" s="163">
        <v>46276</v>
      </c>
      <c r="M46" s="162" t="s">
        <v>242</v>
      </c>
      <c r="N46" s="94" t="s">
        <v>74</v>
      </c>
      <c r="O46" s="164">
        <v>1</v>
      </c>
      <c r="P46" s="235"/>
    </row>
    <row r="47" spans="1:16" ht="23.4" customHeight="1" x14ac:dyDescent="0.3">
      <c r="A47" s="102" t="s">
        <v>88</v>
      </c>
      <c r="B47" s="93" t="s">
        <v>239</v>
      </c>
      <c r="C47" s="161" t="s">
        <v>245</v>
      </c>
      <c r="D47" s="162" t="s">
        <v>198</v>
      </c>
      <c r="E47" s="93" t="s">
        <v>199</v>
      </c>
      <c r="F47" s="162" t="s">
        <v>200</v>
      </c>
      <c r="G47" s="159">
        <v>45747</v>
      </c>
      <c r="H47" s="159">
        <v>45827</v>
      </c>
      <c r="I47" s="163">
        <v>46155</v>
      </c>
      <c r="J47" s="163">
        <v>46158</v>
      </c>
      <c r="K47" s="163">
        <v>46155</v>
      </c>
      <c r="L47" s="163">
        <v>46276</v>
      </c>
      <c r="M47" s="162" t="s">
        <v>242</v>
      </c>
      <c r="N47" s="94" t="s">
        <v>74</v>
      </c>
      <c r="O47" s="164">
        <v>1</v>
      </c>
      <c r="P47" s="235"/>
    </row>
    <row r="48" spans="1:16" ht="57.6" x14ac:dyDescent="0.3">
      <c r="A48" s="102" t="s">
        <v>88</v>
      </c>
      <c r="B48" s="93" t="s">
        <v>239</v>
      </c>
      <c r="C48" s="161" t="s">
        <v>368</v>
      </c>
      <c r="D48" s="162" t="s">
        <v>198</v>
      </c>
      <c r="E48" s="93" t="s">
        <v>199</v>
      </c>
      <c r="F48" s="162" t="s">
        <v>200</v>
      </c>
      <c r="G48" s="159">
        <v>45827</v>
      </c>
      <c r="H48" s="159">
        <v>45829</v>
      </c>
      <c r="I48" s="163">
        <v>46204</v>
      </c>
      <c r="J48" s="163">
        <v>46210</v>
      </c>
      <c r="K48" s="163">
        <v>46279</v>
      </c>
      <c r="L48" s="163">
        <v>46283</v>
      </c>
      <c r="M48" s="162" t="s">
        <v>242</v>
      </c>
      <c r="N48" s="161" t="s">
        <v>209</v>
      </c>
      <c r="O48" s="164">
        <v>0</v>
      </c>
      <c r="P48" s="235" cm="1">
        <f t="array" ref="P48">SUM(O48:O52/5)</f>
        <v>0</v>
      </c>
    </row>
    <row r="49" spans="1:17" x14ac:dyDescent="0.3">
      <c r="A49" s="102" t="s">
        <v>88</v>
      </c>
      <c r="B49" s="93" t="s">
        <v>239</v>
      </c>
      <c r="C49" s="161" t="s">
        <v>369</v>
      </c>
      <c r="D49" s="162" t="s">
        <v>198</v>
      </c>
      <c r="E49" s="93" t="s">
        <v>199</v>
      </c>
      <c r="F49" s="162" t="s">
        <v>200</v>
      </c>
      <c r="G49" s="159">
        <v>45827</v>
      </c>
      <c r="H49" s="159">
        <v>45829</v>
      </c>
      <c r="I49" s="163">
        <v>46211</v>
      </c>
      <c r="J49" s="163">
        <v>46216</v>
      </c>
      <c r="K49" s="163">
        <v>46286</v>
      </c>
      <c r="L49" s="163">
        <v>46286</v>
      </c>
      <c r="M49" s="162" t="s">
        <v>242</v>
      </c>
      <c r="N49" s="161" t="s">
        <v>211</v>
      </c>
      <c r="O49" s="164">
        <v>0</v>
      </c>
      <c r="P49" s="235"/>
    </row>
    <row r="50" spans="1:17" x14ac:dyDescent="0.3">
      <c r="A50" s="102" t="s">
        <v>88</v>
      </c>
      <c r="B50" s="93" t="s">
        <v>239</v>
      </c>
      <c r="C50" s="161" t="s">
        <v>370</v>
      </c>
      <c r="D50" s="162" t="s">
        <v>198</v>
      </c>
      <c r="E50" s="162" t="s">
        <v>241</v>
      </c>
      <c r="F50" s="162" t="s">
        <v>200</v>
      </c>
      <c r="G50" s="159">
        <v>45831</v>
      </c>
      <c r="H50" s="159">
        <v>45833</v>
      </c>
      <c r="I50" s="163">
        <v>46217</v>
      </c>
      <c r="J50" s="163">
        <v>46219</v>
      </c>
      <c r="K50" s="163">
        <v>46302</v>
      </c>
      <c r="L50" s="163">
        <v>46302</v>
      </c>
      <c r="M50" s="162" t="s">
        <v>242</v>
      </c>
      <c r="N50" s="161" t="s">
        <v>211</v>
      </c>
      <c r="O50" s="164">
        <v>0</v>
      </c>
      <c r="P50" s="235"/>
    </row>
    <row r="51" spans="1:17" x14ac:dyDescent="0.3">
      <c r="A51" s="102" t="s">
        <v>88</v>
      </c>
      <c r="B51" s="93" t="s">
        <v>239</v>
      </c>
      <c r="C51" s="161" t="s">
        <v>371</v>
      </c>
      <c r="D51" s="162" t="s">
        <v>198</v>
      </c>
      <c r="E51" s="162" t="s">
        <v>241</v>
      </c>
      <c r="F51" s="162" t="s">
        <v>200</v>
      </c>
      <c r="G51" s="159">
        <v>45834</v>
      </c>
      <c r="H51" s="159">
        <v>45836</v>
      </c>
      <c r="I51" s="163">
        <v>46223</v>
      </c>
      <c r="J51" s="163">
        <v>46223</v>
      </c>
      <c r="K51" s="163">
        <v>46348</v>
      </c>
      <c r="L51" s="163">
        <v>46348</v>
      </c>
      <c r="M51" s="162" t="s">
        <v>242</v>
      </c>
      <c r="N51" s="161" t="s">
        <v>211</v>
      </c>
      <c r="O51" s="164">
        <v>0</v>
      </c>
      <c r="P51" s="235"/>
    </row>
    <row r="52" spans="1:17" x14ac:dyDescent="0.3">
      <c r="A52" s="102" t="s">
        <v>88</v>
      </c>
      <c r="B52" s="93" t="s">
        <v>239</v>
      </c>
      <c r="C52" s="161" t="s">
        <v>224</v>
      </c>
      <c r="D52" s="162" t="s">
        <v>198</v>
      </c>
      <c r="E52" s="162" t="s">
        <v>241</v>
      </c>
      <c r="F52" s="162" t="s">
        <v>200</v>
      </c>
      <c r="G52" s="159">
        <v>45838</v>
      </c>
      <c r="H52" s="159">
        <v>45839</v>
      </c>
      <c r="I52" s="163">
        <v>46233</v>
      </c>
      <c r="J52" s="163">
        <v>46233</v>
      </c>
      <c r="K52" s="163">
        <v>46352</v>
      </c>
      <c r="L52" s="163">
        <v>46353</v>
      </c>
      <c r="M52" s="162" t="s">
        <v>242</v>
      </c>
      <c r="N52" s="161" t="s">
        <v>211</v>
      </c>
      <c r="O52" s="164">
        <v>0</v>
      </c>
      <c r="P52" s="235"/>
    </row>
    <row r="53" spans="1:17" x14ac:dyDescent="0.3">
      <c r="A53" s="102" t="s">
        <v>88</v>
      </c>
      <c r="B53" s="97" t="s">
        <v>76</v>
      </c>
      <c r="C53" s="98" t="s">
        <v>246</v>
      </c>
      <c r="D53" s="97" t="s">
        <v>198</v>
      </c>
      <c r="E53" s="97" t="s">
        <v>199</v>
      </c>
      <c r="F53" s="97" t="s">
        <v>200</v>
      </c>
      <c r="G53" s="160">
        <v>45747</v>
      </c>
      <c r="H53" s="160">
        <v>45827</v>
      </c>
      <c r="I53" s="125">
        <v>46159</v>
      </c>
      <c r="J53" s="125">
        <v>46162</v>
      </c>
      <c r="K53" s="99">
        <v>46159</v>
      </c>
      <c r="L53" s="185">
        <v>46283</v>
      </c>
      <c r="M53" s="97" t="s">
        <v>242</v>
      </c>
      <c r="N53" s="98" t="s">
        <v>74</v>
      </c>
      <c r="O53" s="100">
        <v>1</v>
      </c>
      <c r="P53" s="219">
        <f>SUM(O53:O61)/9</f>
        <v>1</v>
      </c>
    </row>
    <row r="54" spans="1:17" x14ac:dyDescent="0.3">
      <c r="A54" s="102" t="s">
        <v>88</v>
      </c>
      <c r="B54" s="97" t="s">
        <v>76</v>
      </c>
      <c r="C54" s="98" t="s">
        <v>247</v>
      </c>
      <c r="D54" s="97" t="s">
        <v>198</v>
      </c>
      <c r="E54" s="184" t="s">
        <v>199</v>
      </c>
      <c r="F54" s="97" t="s">
        <v>200</v>
      </c>
      <c r="G54" s="160">
        <v>45747</v>
      </c>
      <c r="H54" s="160">
        <v>45827</v>
      </c>
      <c r="I54" s="125">
        <v>46163</v>
      </c>
      <c r="J54" s="125">
        <v>46166</v>
      </c>
      <c r="K54" s="99">
        <v>46163</v>
      </c>
      <c r="L54" s="185">
        <v>46283</v>
      </c>
      <c r="M54" s="97" t="s">
        <v>242</v>
      </c>
      <c r="N54" s="182" t="s">
        <v>74</v>
      </c>
      <c r="O54" s="183">
        <v>1</v>
      </c>
      <c r="P54" s="220"/>
    </row>
    <row r="55" spans="1:17" x14ac:dyDescent="0.3">
      <c r="A55" s="102" t="s">
        <v>88</v>
      </c>
      <c r="B55" s="97" t="s">
        <v>76</v>
      </c>
      <c r="C55" s="98" t="s">
        <v>248</v>
      </c>
      <c r="D55" s="97" t="s">
        <v>198</v>
      </c>
      <c r="E55" s="184" t="s">
        <v>199</v>
      </c>
      <c r="F55" s="97" t="s">
        <v>200</v>
      </c>
      <c r="G55" s="160">
        <v>45747</v>
      </c>
      <c r="H55" s="160">
        <v>45827</v>
      </c>
      <c r="I55" s="125">
        <v>46167</v>
      </c>
      <c r="J55" s="125">
        <v>46170</v>
      </c>
      <c r="K55" s="99">
        <v>46167</v>
      </c>
      <c r="L55" s="185">
        <v>46283</v>
      </c>
      <c r="M55" s="97" t="s">
        <v>242</v>
      </c>
      <c r="N55" s="182" t="s">
        <v>74</v>
      </c>
      <c r="O55" s="183">
        <v>1</v>
      </c>
      <c r="P55" s="220"/>
    </row>
    <row r="56" spans="1:17" ht="32.4" customHeight="1" x14ac:dyDescent="0.3">
      <c r="A56" s="102" t="s">
        <v>88</v>
      </c>
      <c r="B56" s="97" t="s">
        <v>76</v>
      </c>
      <c r="C56" s="98" t="s">
        <v>249</v>
      </c>
      <c r="D56" s="97" t="s">
        <v>198</v>
      </c>
      <c r="E56" s="184" t="s">
        <v>199</v>
      </c>
      <c r="F56" s="97" t="s">
        <v>200</v>
      </c>
      <c r="G56" s="160">
        <v>45747</v>
      </c>
      <c r="H56" s="160">
        <v>45827</v>
      </c>
      <c r="I56" s="125">
        <v>46171</v>
      </c>
      <c r="J56" s="125">
        <v>46174</v>
      </c>
      <c r="K56" s="99">
        <v>46171</v>
      </c>
      <c r="L56" s="185">
        <v>46283</v>
      </c>
      <c r="M56" s="97" t="s">
        <v>242</v>
      </c>
      <c r="N56" s="182" t="s">
        <v>74</v>
      </c>
      <c r="O56" s="183">
        <v>1</v>
      </c>
      <c r="P56" s="220"/>
    </row>
    <row r="57" spans="1:17" ht="34.799999999999997" customHeight="1" x14ac:dyDescent="0.3">
      <c r="A57" s="102" t="s">
        <v>88</v>
      </c>
      <c r="B57" s="97" t="s">
        <v>76</v>
      </c>
      <c r="C57" s="98" t="s">
        <v>250</v>
      </c>
      <c r="D57" s="97" t="s">
        <v>198</v>
      </c>
      <c r="E57" s="184" t="s">
        <v>199</v>
      </c>
      <c r="F57" s="97" t="s">
        <v>200</v>
      </c>
      <c r="G57" s="160">
        <v>45747</v>
      </c>
      <c r="H57" s="160">
        <v>45827</v>
      </c>
      <c r="I57" s="125">
        <v>46175</v>
      </c>
      <c r="J57" s="125">
        <v>46178</v>
      </c>
      <c r="K57" s="99">
        <v>46175</v>
      </c>
      <c r="L57" s="185">
        <v>46283</v>
      </c>
      <c r="M57" s="97" t="s">
        <v>242</v>
      </c>
      <c r="N57" s="182" t="s">
        <v>74</v>
      </c>
      <c r="O57" s="183">
        <v>1</v>
      </c>
      <c r="P57" s="220"/>
    </row>
    <row r="58" spans="1:17" ht="44.4" customHeight="1" x14ac:dyDescent="0.3">
      <c r="A58" s="102" t="s">
        <v>88</v>
      </c>
      <c r="B58" s="97" t="s">
        <v>76</v>
      </c>
      <c r="C58" s="98" t="s">
        <v>251</v>
      </c>
      <c r="D58" s="97" t="s">
        <v>198</v>
      </c>
      <c r="E58" s="184" t="s">
        <v>199</v>
      </c>
      <c r="F58" s="97" t="s">
        <v>200</v>
      </c>
      <c r="G58" s="160">
        <v>45747</v>
      </c>
      <c r="H58" s="160">
        <v>45827</v>
      </c>
      <c r="I58" s="125">
        <v>46179</v>
      </c>
      <c r="J58" s="125">
        <v>46182</v>
      </c>
      <c r="K58" s="99">
        <v>46179</v>
      </c>
      <c r="L58" s="185">
        <v>46283</v>
      </c>
      <c r="M58" s="97" t="s">
        <v>242</v>
      </c>
      <c r="N58" s="182" t="s">
        <v>74</v>
      </c>
      <c r="O58" s="183">
        <v>1</v>
      </c>
      <c r="P58" s="220"/>
    </row>
    <row r="59" spans="1:17" ht="21.6" customHeight="1" x14ac:dyDescent="0.3">
      <c r="A59" s="102" t="s">
        <v>88</v>
      </c>
      <c r="B59" s="97" t="s">
        <v>76</v>
      </c>
      <c r="C59" s="98" t="s">
        <v>252</v>
      </c>
      <c r="D59" s="97" t="s">
        <v>198</v>
      </c>
      <c r="E59" s="184" t="s">
        <v>199</v>
      </c>
      <c r="F59" s="97" t="s">
        <v>200</v>
      </c>
      <c r="G59" s="160">
        <v>45747</v>
      </c>
      <c r="H59" s="160">
        <v>45827</v>
      </c>
      <c r="I59" s="125">
        <v>46183</v>
      </c>
      <c r="J59" s="125">
        <v>46186</v>
      </c>
      <c r="K59" s="99">
        <v>46183</v>
      </c>
      <c r="L59" s="185">
        <v>46283</v>
      </c>
      <c r="M59" s="97" t="s">
        <v>242</v>
      </c>
      <c r="N59" s="182" t="s">
        <v>74</v>
      </c>
      <c r="O59" s="183">
        <v>1</v>
      </c>
      <c r="P59" s="220"/>
    </row>
    <row r="60" spans="1:17" ht="22.8" customHeight="1" x14ac:dyDescent="0.3">
      <c r="A60" s="102" t="s">
        <v>88</v>
      </c>
      <c r="B60" s="97" t="s">
        <v>76</v>
      </c>
      <c r="C60" s="98" t="s">
        <v>253</v>
      </c>
      <c r="D60" s="97" t="s">
        <v>198</v>
      </c>
      <c r="E60" s="184" t="s">
        <v>199</v>
      </c>
      <c r="F60" s="97" t="s">
        <v>200</v>
      </c>
      <c r="G60" s="160">
        <v>45747</v>
      </c>
      <c r="H60" s="160">
        <v>45827</v>
      </c>
      <c r="I60" s="125">
        <v>46187</v>
      </c>
      <c r="J60" s="125">
        <v>46190</v>
      </c>
      <c r="K60" s="99">
        <v>46187</v>
      </c>
      <c r="L60" s="185">
        <v>46283</v>
      </c>
      <c r="M60" s="97" t="s">
        <v>242</v>
      </c>
      <c r="N60" s="182" t="s">
        <v>74</v>
      </c>
      <c r="O60" s="183">
        <v>1</v>
      </c>
      <c r="P60" s="220"/>
    </row>
    <row r="61" spans="1:17" ht="36.6" customHeight="1" x14ac:dyDescent="0.3">
      <c r="A61" s="102" t="s">
        <v>88</v>
      </c>
      <c r="B61" s="97" t="s">
        <v>76</v>
      </c>
      <c r="C61" s="98" t="s">
        <v>254</v>
      </c>
      <c r="D61" s="97" t="s">
        <v>198</v>
      </c>
      <c r="E61" s="184" t="s">
        <v>199</v>
      </c>
      <c r="F61" s="97" t="s">
        <v>200</v>
      </c>
      <c r="G61" s="160">
        <v>45747</v>
      </c>
      <c r="H61" s="160">
        <v>45827</v>
      </c>
      <c r="I61" s="125">
        <v>46191</v>
      </c>
      <c r="J61" s="125">
        <v>46203</v>
      </c>
      <c r="K61" s="99">
        <v>46191</v>
      </c>
      <c r="L61" s="99">
        <v>46283</v>
      </c>
      <c r="M61" s="97" t="s">
        <v>242</v>
      </c>
      <c r="N61" s="182" t="s">
        <v>74</v>
      </c>
      <c r="O61" s="183">
        <v>1</v>
      </c>
      <c r="P61" s="221"/>
    </row>
    <row r="62" spans="1:17" ht="57.6" customHeight="1" x14ac:dyDescent="0.3">
      <c r="A62" s="102" t="s">
        <v>88</v>
      </c>
      <c r="B62" s="261" t="s">
        <v>76</v>
      </c>
      <c r="C62" s="272" t="s">
        <v>372</v>
      </c>
      <c r="D62" s="261" t="s">
        <v>198</v>
      </c>
      <c r="E62" s="261" t="s">
        <v>209</v>
      </c>
      <c r="F62" s="261" t="s">
        <v>200</v>
      </c>
      <c r="G62" s="258">
        <v>45827</v>
      </c>
      <c r="H62" s="258">
        <v>45829</v>
      </c>
      <c r="I62" s="257">
        <v>46204</v>
      </c>
      <c r="J62" s="257">
        <v>46210</v>
      </c>
      <c r="K62" s="257">
        <v>46286</v>
      </c>
      <c r="L62" s="257">
        <v>46297</v>
      </c>
      <c r="M62" s="266" t="s">
        <v>255</v>
      </c>
      <c r="N62" s="266" t="s">
        <v>209</v>
      </c>
      <c r="O62" s="267">
        <v>0</v>
      </c>
      <c r="P62" s="268">
        <v>0</v>
      </c>
    </row>
    <row r="63" spans="1:17" x14ac:dyDescent="0.3">
      <c r="A63" s="102" t="s">
        <v>88</v>
      </c>
      <c r="B63" s="261"/>
      <c r="C63" s="273"/>
      <c r="D63" s="261"/>
      <c r="E63" s="261"/>
      <c r="F63" s="261"/>
      <c r="G63" s="259"/>
      <c r="H63" s="259"/>
      <c r="I63" s="257"/>
      <c r="J63" s="257"/>
      <c r="K63" s="257"/>
      <c r="L63" s="257"/>
      <c r="M63" s="266"/>
      <c r="N63" s="266"/>
      <c r="O63" s="267"/>
      <c r="P63" s="268"/>
      <c r="Q63" s="101"/>
    </row>
    <row r="64" spans="1:17" x14ac:dyDescent="0.3">
      <c r="A64" s="102" t="s">
        <v>88</v>
      </c>
      <c r="B64" s="261"/>
      <c r="C64" s="274"/>
      <c r="D64" s="261"/>
      <c r="E64" s="261"/>
      <c r="F64" s="261"/>
      <c r="G64" s="260"/>
      <c r="H64" s="260"/>
      <c r="I64" s="257"/>
      <c r="J64" s="257"/>
      <c r="K64" s="257"/>
      <c r="L64" s="257"/>
      <c r="M64" s="266"/>
      <c r="N64" s="266"/>
      <c r="O64" s="267"/>
      <c r="P64" s="268"/>
    </row>
    <row r="65" spans="1:16" ht="28.8" x14ac:dyDescent="0.3">
      <c r="A65" s="102" t="s">
        <v>88</v>
      </c>
      <c r="B65" s="97" t="s">
        <v>76</v>
      </c>
      <c r="C65" s="98" t="s">
        <v>375</v>
      </c>
      <c r="D65" s="97" t="s">
        <v>198</v>
      </c>
      <c r="E65" s="97" t="s">
        <v>241</v>
      </c>
      <c r="F65" s="97" t="s">
        <v>200</v>
      </c>
      <c r="G65" s="160">
        <v>45827</v>
      </c>
      <c r="H65" s="160">
        <v>45829</v>
      </c>
      <c r="I65" s="125">
        <v>46211</v>
      </c>
      <c r="J65" s="125">
        <v>46216</v>
      </c>
      <c r="K65" s="99">
        <v>46303</v>
      </c>
      <c r="L65" s="99">
        <v>46303</v>
      </c>
      <c r="M65" s="98" t="s">
        <v>256</v>
      </c>
      <c r="N65" s="98" t="s">
        <v>211</v>
      </c>
      <c r="O65" s="100">
        <v>0</v>
      </c>
      <c r="P65" s="268"/>
    </row>
    <row r="66" spans="1:16" ht="28.8" x14ac:dyDescent="0.3">
      <c r="A66" s="102" t="s">
        <v>88</v>
      </c>
      <c r="B66" s="97" t="s">
        <v>76</v>
      </c>
      <c r="C66" s="98" t="s">
        <v>258</v>
      </c>
      <c r="D66" s="97" t="s">
        <v>198</v>
      </c>
      <c r="E66" s="97" t="s">
        <v>241</v>
      </c>
      <c r="F66" s="97" t="s">
        <v>200</v>
      </c>
      <c r="G66" s="160">
        <v>45831</v>
      </c>
      <c r="H66" s="160">
        <v>45833</v>
      </c>
      <c r="I66" s="125">
        <v>46217</v>
      </c>
      <c r="J66" s="125">
        <v>46219</v>
      </c>
      <c r="K66" s="99">
        <v>46315</v>
      </c>
      <c r="L66" s="185">
        <v>46315</v>
      </c>
      <c r="M66" s="98" t="s">
        <v>256</v>
      </c>
      <c r="N66" s="98" t="s">
        <v>211</v>
      </c>
      <c r="O66" s="100">
        <v>0</v>
      </c>
      <c r="P66" s="268"/>
    </row>
    <row r="67" spans="1:16" ht="28.8" x14ac:dyDescent="0.3">
      <c r="A67" s="102" t="s">
        <v>88</v>
      </c>
      <c r="B67" s="124" t="s">
        <v>76</v>
      </c>
      <c r="C67" s="122" t="s">
        <v>373</v>
      </c>
      <c r="D67" s="124" t="s">
        <v>198</v>
      </c>
      <c r="E67" s="124" t="s">
        <v>241</v>
      </c>
      <c r="F67" s="124" t="s">
        <v>200</v>
      </c>
      <c r="G67" s="160">
        <v>45834</v>
      </c>
      <c r="H67" s="160">
        <v>45836</v>
      </c>
      <c r="I67" s="125">
        <v>46224</v>
      </c>
      <c r="J67" s="125">
        <v>46226</v>
      </c>
      <c r="K67" s="125">
        <v>46348</v>
      </c>
      <c r="L67" s="125">
        <v>46348</v>
      </c>
      <c r="M67" s="122" t="s">
        <v>256</v>
      </c>
      <c r="N67" s="122" t="s">
        <v>211</v>
      </c>
      <c r="O67" s="123">
        <v>0</v>
      </c>
      <c r="P67" s="268"/>
    </row>
    <row r="68" spans="1:16" ht="28.8" x14ac:dyDescent="0.3">
      <c r="A68" s="102" t="s">
        <v>88</v>
      </c>
      <c r="B68" s="97" t="s">
        <v>76</v>
      </c>
      <c r="C68" s="98" t="s">
        <v>374</v>
      </c>
      <c r="D68" s="97" t="s">
        <v>198</v>
      </c>
      <c r="E68" s="97" t="s">
        <v>241</v>
      </c>
      <c r="F68" s="97" t="s">
        <v>200</v>
      </c>
      <c r="G68" s="160">
        <v>45838</v>
      </c>
      <c r="H68" s="160">
        <v>45839</v>
      </c>
      <c r="I68" s="125">
        <v>46233</v>
      </c>
      <c r="J68" s="125">
        <v>46233</v>
      </c>
      <c r="K68" s="99">
        <v>46352</v>
      </c>
      <c r="L68" s="168">
        <v>46353</v>
      </c>
      <c r="M68" s="98" t="s">
        <v>256</v>
      </c>
      <c r="N68" s="98" t="s">
        <v>211</v>
      </c>
      <c r="O68" s="100">
        <v>0</v>
      </c>
      <c r="P68" s="268"/>
    </row>
    <row r="70" spans="1:16" s="68" customFormat="1" x14ac:dyDescent="0.3">
      <c r="A70" s="170" t="s">
        <v>281</v>
      </c>
      <c r="B70" s="175" t="s">
        <v>96</v>
      </c>
      <c r="C70" s="173" t="s">
        <v>262</v>
      </c>
      <c r="D70" s="169" t="s">
        <v>261</v>
      </c>
      <c r="E70" s="169" t="s">
        <v>207</v>
      </c>
      <c r="F70" s="169" t="s">
        <v>200</v>
      </c>
      <c r="G70" s="167">
        <v>45708</v>
      </c>
      <c r="H70" s="167">
        <v>45863</v>
      </c>
      <c r="I70" s="167">
        <v>46148</v>
      </c>
      <c r="J70" s="167">
        <v>46154</v>
      </c>
      <c r="K70" s="167">
        <v>46148</v>
      </c>
      <c r="L70" s="177">
        <v>46387</v>
      </c>
      <c r="M70" s="173" t="s">
        <v>263</v>
      </c>
      <c r="N70" s="169" t="s">
        <v>207</v>
      </c>
      <c r="O70" s="166">
        <v>0.6</v>
      </c>
      <c r="P70" s="262" cm="1">
        <f t="array" ref="P70">SUM(O70:O79/10)</f>
        <v>0.55999999999999994</v>
      </c>
    </row>
    <row r="71" spans="1:16" s="68" customFormat="1" x14ac:dyDescent="0.3">
      <c r="A71" s="170" t="s">
        <v>281</v>
      </c>
      <c r="B71" s="176" t="s">
        <v>96</v>
      </c>
      <c r="C71" s="174" t="s">
        <v>264</v>
      </c>
      <c r="D71" s="171" t="s">
        <v>261</v>
      </c>
      <c r="E71" s="171" t="s">
        <v>207</v>
      </c>
      <c r="F71" s="171" t="s">
        <v>200</v>
      </c>
      <c r="G71" s="167">
        <v>45708</v>
      </c>
      <c r="H71" s="167">
        <v>45863</v>
      </c>
      <c r="I71" s="155">
        <v>46155</v>
      </c>
      <c r="J71" s="155">
        <v>46161</v>
      </c>
      <c r="K71" s="155">
        <v>46155</v>
      </c>
      <c r="L71" s="155">
        <v>46387</v>
      </c>
      <c r="M71" s="174" t="s">
        <v>263</v>
      </c>
      <c r="N71" s="171" t="s">
        <v>207</v>
      </c>
      <c r="O71" s="172">
        <v>0.6</v>
      </c>
      <c r="P71" s="262"/>
    </row>
    <row r="72" spans="1:16" s="68" customFormat="1" x14ac:dyDescent="0.3">
      <c r="A72" s="170" t="s">
        <v>281</v>
      </c>
      <c r="B72" s="175" t="s">
        <v>96</v>
      </c>
      <c r="C72" s="173" t="s">
        <v>265</v>
      </c>
      <c r="D72" s="169" t="s">
        <v>261</v>
      </c>
      <c r="E72" s="169" t="s">
        <v>207</v>
      </c>
      <c r="F72" s="169" t="s">
        <v>200</v>
      </c>
      <c r="G72" s="167">
        <v>45708</v>
      </c>
      <c r="H72" s="167">
        <v>45863</v>
      </c>
      <c r="I72" s="167">
        <v>46162</v>
      </c>
      <c r="J72" s="167">
        <v>46168</v>
      </c>
      <c r="K72" s="167">
        <v>46162</v>
      </c>
      <c r="L72" s="177">
        <v>46387</v>
      </c>
      <c r="M72" s="173" t="s">
        <v>263</v>
      </c>
      <c r="N72" s="169" t="s">
        <v>207</v>
      </c>
      <c r="O72" s="166">
        <v>0.6</v>
      </c>
      <c r="P72" s="262"/>
    </row>
    <row r="73" spans="1:16" s="68" customFormat="1" x14ac:dyDescent="0.3">
      <c r="A73" s="170" t="s">
        <v>281</v>
      </c>
      <c r="B73" s="176" t="s">
        <v>96</v>
      </c>
      <c r="C73" s="174" t="s">
        <v>266</v>
      </c>
      <c r="D73" s="171" t="s">
        <v>261</v>
      </c>
      <c r="E73" s="171" t="s">
        <v>207</v>
      </c>
      <c r="F73" s="171" t="s">
        <v>200</v>
      </c>
      <c r="G73" s="167">
        <v>45708</v>
      </c>
      <c r="H73" s="167">
        <v>45863</v>
      </c>
      <c r="I73" s="155">
        <v>46169</v>
      </c>
      <c r="J73" s="155">
        <v>46175</v>
      </c>
      <c r="K73" s="155">
        <v>46169</v>
      </c>
      <c r="L73" s="155">
        <v>46387</v>
      </c>
      <c r="M73" s="174" t="s">
        <v>263</v>
      </c>
      <c r="N73" s="171" t="s">
        <v>207</v>
      </c>
      <c r="O73" s="172">
        <v>0.55000000000000004</v>
      </c>
      <c r="P73" s="262"/>
    </row>
    <row r="74" spans="1:16" s="68" customFormat="1" x14ac:dyDescent="0.3">
      <c r="A74" s="170" t="s">
        <v>281</v>
      </c>
      <c r="B74" s="175" t="s">
        <v>96</v>
      </c>
      <c r="C74" s="173" t="s">
        <v>267</v>
      </c>
      <c r="D74" s="169" t="s">
        <v>261</v>
      </c>
      <c r="E74" s="169" t="s">
        <v>207</v>
      </c>
      <c r="F74" s="169" t="s">
        <v>200</v>
      </c>
      <c r="G74" s="167">
        <v>45708</v>
      </c>
      <c r="H74" s="167">
        <v>45863</v>
      </c>
      <c r="I74" s="167">
        <v>46176</v>
      </c>
      <c r="J74" s="167">
        <v>46182</v>
      </c>
      <c r="K74" s="167">
        <v>46176</v>
      </c>
      <c r="L74" s="177">
        <v>46387</v>
      </c>
      <c r="M74" s="173" t="s">
        <v>263</v>
      </c>
      <c r="N74" s="169" t="s">
        <v>207</v>
      </c>
      <c r="O74" s="166">
        <v>0.55000000000000004</v>
      </c>
      <c r="P74" s="262"/>
    </row>
    <row r="75" spans="1:16" s="68" customFormat="1" x14ac:dyDescent="0.3">
      <c r="A75" s="170" t="s">
        <v>281</v>
      </c>
      <c r="B75" s="176" t="s">
        <v>96</v>
      </c>
      <c r="C75" s="174" t="s">
        <v>268</v>
      </c>
      <c r="D75" s="171" t="s">
        <v>261</v>
      </c>
      <c r="E75" s="171" t="s">
        <v>207</v>
      </c>
      <c r="F75" s="171" t="s">
        <v>200</v>
      </c>
      <c r="G75" s="167">
        <v>45708</v>
      </c>
      <c r="H75" s="167">
        <v>45863</v>
      </c>
      <c r="I75" s="155">
        <v>46183</v>
      </c>
      <c r="J75" s="155">
        <v>46189</v>
      </c>
      <c r="K75" s="155">
        <v>46183</v>
      </c>
      <c r="L75" s="155">
        <v>46387</v>
      </c>
      <c r="M75" s="174" t="s">
        <v>263</v>
      </c>
      <c r="N75" s="171" t="s">
        <v>207</v>
      </c>
      <c r="O75" s="172">
        <v>0.5</v>
      </c>
      <c r="P75" s="262"/>
    </row>
    <row r="76" spans="1:16" s="68" customFormat="1" x14ac:dyDescent="0.3">
      <c r="A76" s="170" t="s">
        <v>281</v>
      </c>
      <c r="B76" s="175" t="s">
        <v>96</v>
      </c>
      <c r="C76" s="173" t="s">
        <v>269</v>
      </c>
      <c r="D76" s="169" t="s">
        <v>261</v>
      </c>
      <c r="E76" s="169" t="s">
        <v>207</v>
      </c>
      <c r="F76" s="169" t="s">
        <v>200</v>
      </c>
      <c r="G76" s="167">
        <v>45708</v>
      </c>
      <c r="H76" s="167">
        <v>45863</v>
      </c>
      <c r="I76" s="167">
        <v>46190</v>
      </c>
      <c r="J76" s="167">
        <v>46196</v>
      </c>
      <c r="K76" s="167">
        <v>46190</v>
      </c>
      <c r="L76" s="177">
        <v>46387</v>
      </c>
      <c r="M76" s="173" t="s">
        <v>263</v>
      </c>
      <c r="N76" s="169" t="s">
        <v>207</v>
      </c>
      <c r="O76" s="166">
        <v>0.5</v>
      </c>
      <c r="P76" s="262"/>
    </row>
    <row r="77" spans="1:16" s="68" customFormat="1" x14ac:dyDescent="0.3">
      <c r="A77" s="170" t="s">
        <v>281</v>
      </c>
      <c r="B77" s="176" t="s">
        <v>96</v>
      </c>
      <c r="C77" s="174" t="s">
        <v>270</v>
      </c>
      <c r="D77" s="171" t="s">
        <v>261</v>
      </c>
      <c r="E77" s="171" t="s">
        <v>207</v>
      </c>
      <c r="F77" s="171" t="s">
        <v>200</v>
      </c>
      <c r="G77" s="167">
        <v>45708</v>
      </c>
      <c r="H77" s="167">
        <v>45863</v>
      </c>
      <c r="I77" s="155">
        <v>46197</v>
      </c>
      <c r="J77" s="155">
        <v>46203</v>
      </c>
      <c r="K77" s="155">
        <v>46197</v>
      </c>
      <c r="L77" s="155">
        <v>46387</v>
      </c>
      <c r="M77" s="174" t="s">
        <v>263</v>
      </c>
      <c r="N77" s="171" t="s">
        <v>207</v>
      </c>
      <c r="O77" s="172">
        <v>0.5</v>
      </c>
      <c r="P77" s="262"/>
    </row>
    <row r="78" spans="1:16" s="68" customFormat="1" ht="31.2" customHeight="1" x14ac:dyDescent="0.3">
      <c r="A78" s="170" t="s">
        <v>281</v>
      </c>
      <c r="B78" s="175" t="s">
        <v>97</v>
      </c>
      <c r="C78" s="173" t="s">
        <v>271</v>
      </c>
      <c r="D78" s="169" t="s">
        <v>261</v>
      </c>
      <c r="E78" s="169" t="s">
        <v>207</v>
      </c>
      <c r="F78" s="169" t="s">
        <v>200</v>
      </c>
      <c r="G78" s="167">
        <v>45708</v>
      </c>
      <c r="H78" s="167">
        <v>45863</v>
      </c>
      <c r="I78" s="167">
        <v>46204</v>
      </c>
      <c r="J78" s="167">
        <v>46211</v>
      </c>
      <c r="K78" s="167">
        <v>46204</v>
      </c>
      <c r="L78" s="177">
        <v>46387</v>
      </c>
      <c r="M78" s="173" t="s">
        <v>272</v>
      </c>
      <c r="N78" s="169" t="s">
        <v>207</v>
      </c>
      <c r="O78" s="166">
        <v>0.6</v>
      </c>
      <c r="P78" s="262"/>
    </row>
    <row r="79" spans="1:16" s="68" customFormat="1" x14ac:dyDescent="0.3">
      <c r="A79" s="170" t="s">
        <v>281</v>
      </c>
      <c r="B79" s="176" t="s">
        <v>273</v>
      </c>
      <c r="C79" s="174" t="s">
        <v>274</v>
      </c>
      <c r="D79" s="171" t="s">
        <v>261</v>
      </c>
      <c r="E79" s="171" t="s">
        <v>207</v>
      </c>
      <c r="F79" s="171" t="s">
        <v>200</v>
      </c>
      <c r="G79" s="167">
        <v>45708</v>
      </c>
      <c r="H79" s="167">
        <v>45863</v>
      </c>
      <c r="I79" s="155">
        <v>46212</v>
      </c>
      <c r="J79" s="155">
        <v>46218</v>
      </c>
      <c r="K79" s="155">
        <v>46212</v>
      </c>
      <c r="L79" s="155">
        <v>46387</v>
      </c>
      <c r="M79" s="174" t="s">
        <v>201</v>
      </c>
      <c r="N79" s="171" t="s">
        <v>207</v>
      </c>
      <c r="O79" s="172">
        <v>0.6</v>
      </c>
      <c r="P79" s="262"/>
    </row>
    <row r="80" spans="1:16" s="68" customFormat="1" ht="57.6" x14ac:dyDescent="0.3">
      <c r="A80" s="170" t="s">
        <v>281</v>
      </c>
      <c r="B80" s="173" t="s">
        <v>275</v>
      </c>
      <c r="C80" s="173" t="s">
        <v>366</v>
      </c>
      <c r="D80" s="169" t="s">
        <v>261</v>
      </c>
      <c r="E80" s="169" t="s">
        <v>241</v>
      </c>
      <c r="F80" s="169" t="s">
        <v>200</v>
      </c>
      <c r="G80" s="167">
        <v>45757</v>
      </c>
      <c r="H80" s="167">
        <v>45763</v>
      </c>
      <c r="I80" s="167">
        <v>46219</v>
      </c>
      <c r="J80" s="167">
        <v>46225</v>
      </c>
      <c r="K80" s="167">
        <v>46388</v>
      </c>
      <c r="L80" s="167">
        <v>46394</v>
      </c>
      <c r="M80" s="173" t="s">
        <v>276</v>
      </c>
      <c r="N80" s="169" t="s">
        <v>241</v>
      </c>
      <c r="O80" s="166">
        <v>0</v>
      </c>
      <c r="P80" s="263" cm="1">
        <f t="array" ref="P80">SUM(O80:O85/6)</f>
        <v>0</v>
      </c>
    </row>
    <row r="81" spans="1:17" s="68" customFormat="1" ht="28.8" x14ac:dyDescent="0.3">
      <c r="A81" s="170" t="s">
        <v>281</v>
      </c>
      <c r="B81" s="176" t="s">
        <v>257</v>
      </c>
      <c r="C81" s="174" t="s">
        <v>382</v>
      </c>
      <c r="D81" s="171" t="s">
        <v>261</v>
      </c>
      <c r="E81" s="171" t="s">
        <v>241</v>
      </c>
      <c r="F81" s="171" t="s">
        <v>200</v>
      </c>
      <c r="G81" s="155">
        <v>45764</v>
      </c>
      <c r="H81" s="155">
        <v>45776</v>
      </c>
      <c r="I81" s="155">
        <v>46226</v>
      </c>
      <c r="J81" s="155">
        <v>46231</v>
      </c>
      <c r="K81" s="155">
        <v>46395</v>
      </c>
      <c r="L81" s="155">
        <v>46405</v>
      </c>
      <c r="M81" s="174" t="s">
        <v>277</v>
      </c>
      <c r="N81" s="171" t="s">
        <v>241</v>
      </c>
      <c r="O81" s="172">
        <v>0</v>
      </c>
      <c r="P81" s="264"/>
    </row>
    <row r="82" spans="1:17" s="68" customFormat="1" ht="22.2" customHeight="1" x14ac:dyDescent="0.3">
      <c r="A82" s="170" t="s">
        <v>281</v>
      </c>
      <c r="B82" s="176" t="s">
        <v>347</v>
      </c>
      <c r="C82" s="174" t="s">
        <v>382</v>
      </c>
      <c r="D82" s="171" t="s">
        <v>261</v>
      </c>
      <c r="E82" s="171" t="s">
        <v>241</v>
      </c>
      <c r="F82" s="171" t="s">
        <v>200</v>
      </c>
      <c r="G82" s="155">
        <v>45785</v>
      </c>
      <c r="H82" s="155">
        <v>45805</v>
      </c>
      <c r="I82" s="155">
        <v>46232</v>
      </c>
      <c r="J82" s="155">
        <v>46234</v>
      </c>
      <c r="K82" s="155">
        <v>46406</v>
      </c>
      <c r="L82" s="155">
        <v>46420</v>
      </c>
      <c r="M82" s="174" t="s">
        <v>277</v>
      </c>
      <c r="N82" s="171" t="s">
        <v>241</v>
      </c>
      <c r="O82" s="172">
        <v>0</v>
      </c>
      <c r="P82" s="264"/>
    </row>
    <row r="83" spans="1:17" s="68" customFormat="1" ht="28.8" x14ac:dyDescent="0.3">
      <c r="A83" s="170" t="s">
        <v>281</v>
      </c>
      <c r="B83" s="175" t="s">
        <v>259</v>
      </c>
      <c r="C83" s="173" t="s">
        <v>382</v>
      </c>
      <c r="D83" s="169" t="s">
        <v>261</v>
      </c>
      <c r="E83" s="169" t="s">
        <v>241</v>
      </c>
      <c r="F83" s="169" t="s">
        <v>200</v>
      </c>
      <c r="G83" s="167">
        <v>45813</v>
      </c>
      <c r="H83" s="167">
        <v>45839</v>
      </c>
      <c r="I83" s="167">
        <v>46235</v>
      </c>
      <c r="J83" s="167">
        <v>46240</v>
      </c>
      <c r="K83" s="167">
        <v>46424</v>
      </c>
      <c r="L83" s="167">
        <v>46438</v>
      </c>
      <c r="M83" s="173" t="s">
        <v>277</v>
      </c>
      <c r="N83" s="169" t="s">
        <v>241</v>
      </c>
      <c r="O83" s="166">
        <v>0</v>
      </c>
      <c r="P83" s="264"/>
    </row>
    <row r="84" spans="1:17" s="68" customFormat="1" ht="28.8" x14ac:dyDescent="0.3">
      <c r="A84" s="170" t="s">
        <v>281</v>
      </c>
      <c r="B84" s="175" t="s">
        <v>348</v>
      </c>
      <c r="C84" s="173" t="s">
        <v>383</v>
      </c>
      <c r="D84" s="169" t="s">
        <v>261</v>
      </c>
      <c r="E84" s="169" t="s">
        <v>241</v>
      </c>
      <c r="F84" s="169" t="s">
        <v>200</v>
      </c>
      <c r="G84" s="167">
        <v>45848</v>
      </c>
      <c r="H84" s="167">
        <v>45874</v>
      </c>
      <c r="I84" s="167">
        <v>46244</v>
      </c>
      <c r="J84" s="167">
        <v>46252</v>
      </c>
      <c r="K84" s="167">
        <v>46447</v>
      </c>
      <c r="L84" s="167">
        <v>46466</v>
      </c>
      <c r="M84" s="173" t="s">
        <v>277</v>
      </c>
      <c r="N84" s="169" t="s">
        <v>241</v>
      </c>
      <c r="O84" s="166">
        <v>0</v>
      </c>
      <c r="P84" s="264"/>
    </row>
    <row r="85" spans="1:17" s="68" customFormat="1" ht="28.8" x14ac:dyDescent="0.3">
      <c r="A85" s="170" t="s">
        <v>281</v>
      </c>
      <c r="B85" s="176" t="s">
        <v>278</v>
      </c>
      <c r="C85" s="174" t="s">
        <v>279</v>
      </c>
      <c r="D85" s="171" t="s">
        <v>261</v>
      </c>
      <c r="E85" s="171" t="s">
        <v>241</v>
      </c>
      <c r="F85" s="171" t="s">
        <v>200</v>
      </c>
      <c r="G85" s="155">
        <v>45881</v>
      </c>
      <c r="H85" s="155">
        <v>45891</v>
      </c>
      <c r="I85" s="155">
        <v>46254</v>
      </c>
      <c r="J85" s="155">
        <v>46254</v>
      </c>
      <c r="K85" s="155">
        <v>46468</v>
      </c>
      <c r="L85" s="155">
        <v>46470</v>
      </c>
      <c r="M85" s="174" t="s">
        <v>277</v>
      </c>
      <c r="N85" s="171" t="s">
        <v>241</v>
      </c>
      <c r="O85" s="172">
        <v>0</v>
      </c>
      <c r="P85" s="265"/>
    </row>
    <row r="87" spans="1:17" x14ac:dyDescent="0.3">
      <c r="A87" s="118" t="s">
        <v>341</v>
      </c>
      <c r="B87" s="114" t="s">
        <v>346</v>
      </c>
      <c r="C87" s="114" t="s">
        <v>261</v>
      </c>
      <c r="D87" s="112" t="s">
        <v>261</v>
      </c>
      <c r="E87" s="114" t="s">
        <v>199</v>
      </c>
      <c r="F87" s="112" t="s">
        <v>200</v>
      </c>
      <c r="G87" s="117">
        <v>45560</v>
      </c>
      <c r="H87" s="115">
        <v>46223</v>
      </c>
      <c r="I87" s="117">
        <v>45560</v>
      </c>
      <c r="J87" s="115">
        <v>46223</v>
      </c>
      <c r="K87" s="117">
        <v>45560</v>
      </c>
      <c r="L87" s="115">
        <v>46223</v>
      </c>
      <c r="M87" s="118" t="s">
        <v>349</v>
      </c>
      <c r="N87" s="114" t="s">
        <v>74</v>
      </c>
      <c r="O87" s="111">
        <v>1</v>
      </c>
      <c r="P87" s="200" cm="1">
        <f t="array" ref="P87">SUM(O87:O89/3)</f>
        <v>1</v>
      </c>
      <c r="Q87" s="118" t="s">
        <v>350</v>
      </c>
    </row>
    <row r="88" spans="1:17" x14ac:dyDescent="0.3">
      <c r="A88" s="118" t="s">
        <v>341</v>
      </c>
      <c r="B88" s="114" t="s">
        <v>346</v>
      </c>
      <c r="C88" s="114" t="s">
        <v>257</v>
      </c>
      <c r="D88" s="112" t="s">
        <v>261</v>
      </c>
      <c r="E88" s="114" t="s">
        <v>199</v>
      </c>
      <c r="F88" s="112" t="s">
        <v>200</v>
      </c>
      <c r="G88" s="115">
        <v>46230</v>
      </c>
      <c r="H88" s="115">
        <v>46230</v>
      </c>
      <c r="I88" s="115">
        <v>46230</v>
      </c>
      <c r="J88" s="115">
        <v>46230</v>
      </c>
      <c r="K88" s="115">
        <v>46230</v>
      </c>
      <c r="L88" s="115">
        <v>46230</v>
      </c>
      <c r="M88" s="118" t="s">
        <v>349</v>
      </c>
      <c r="N88" s="114" t="s">
        <v>74</v>
      </c>
      <c r="O88" s="111">
        <v>1</v>
      </c>
      <c r="P88" s="201"/>
      <c r="Q88" s="118" t="s">
        <v>350</v>
      </c>
    </row>
    <row r="89" spans="1:17" x14ac:dyDescent="0.3">
      <c r="A89" s="118" t="s">
        <v>341</v>
      </c>
      <c r="B89" s="114" t="s">
        <v>346</v>
      </c>
      <c r="C89" s="114" t="s">
        <v>278</v>
      </c>
      <c r="D89" s="112" t="s">
        <v>261</v>
      </c>
      <c r="E89" s="112" t="s">
        <v>199</v>
      </c>
      <c r="F89" s="112" t="s">
        <v>200</v>
      </c>
      <c r="G89" s="115">
        <v>46261</v>
      </c>
      <c r="H89" s="115">
        <v>46261</v>
      </c>
      <c r="I89" s="115">
        <v>46261</v>
      </c>
      <c r="J89" s="115">
        <v>46261</v>
      </c>
      <c r="K89" s="115">
        <v>46261</v>
      </c>
      <c r="L89" s="115">
        <v>46261</v>
      </c>
      <c r="M89" s="118" t="s">
        <v>349</v>
      </c>
      <c r="N89" s="143" t="s">
        <v>74</v>
      </c>
      <c r="O89" s="111">
        <v>1</v>
      </c>
      <c r="P89" s="202"/>
      <c r="Q89" s="118" t="s">
        <v>350</v>
      </c>
    </row>
    <row r="90" spans="1:17" s="154" customFormat="1" x14ac:dyDescent="0.3">
      <c r="A90" s="145"/>
      <c r="B90" s="146"/>
      <c r="C90" s="146"/>
      <c r="D90" s="147"/>
      <c r="E90" s="147"/>
      <c r="F90" s="147"/>
      <c r="G90" s="148"/>
      <c r="H90" s="148"/>
      <c r="I90" s="149"/>
      <c r="J90" s="150"/>
      <c r="K90" s="149"/>
      <c r="L90" s="150"/>
      <c r="M90" s="145"/>
      <c r="N90" s="151"/>
      <c r="O90" s="152"/>
      <c r="P90" s="153"/>
      <c r="Q90" s="145"/>
    </row>
    <row r="91" spans="1:17" x14ac:dyDescent="0.3">
      <c r="A91" s="110" t="s">
        <v>341</v>
      </c>
      <c r="B91" s="116" t="s">
        <v>345</v>
      </c>
      <c r="C91" s="142" t="s">
        <v>354</v>
      </c>
      <c r="D91" s="113" t="s">
        <v>261</v>
      </c>
      <c r="E91" s="113" t="s">
        <v>199</v>
      </c>
      <c r="F91" s="113" t="s">
        <v>200</v>
      </c>
      <c r="G91" s="119">
        <v>45951</v>
      </c>
      <c r="H91" s="120">
        <v>46239</v>
      </c>
      <c r="I91" s="119">
        <v>45813</v>
      </c>
      <c r="J91" s="120">
        <v>46260</v>
      </c>
      <c r="K91" s="119">
        <v>45951</v>
      </c>
      <c r="L91" s="120">
        <v>46260</v>
      </c>
      <c r="M91" s="110" t="s">
        <v>349</v>
      </c>
      <c r="N91" s="113" t="s">
        <v>74</v>
      </c>
      <c r="O91" s="121">
        <v>1</v>
      </c>
      <c r="P91" s="203" cm="1">
        <f t="array" ref="P91">SUM(O91:O99/9)</f>
        <v>0.22222222222222221</v>
      </c>
      <c r="Q91" s="110" t="s">
        <v>344</v>
      </c>
    </row>
    <row r="92" spans="1:17" x14ac:dyDescent="0.3">
      <c r="A92" s="110" t="s">
        <v>341</v>
      </c>
      <c r="B92" s="116" t="s">
        <v>345</v>
      </c>
      <c r="C92" s="116" t="s">
        <v>257</v>
      </c>
      <c r="D92" s="113" t="s">
        <v>261</v>
      </c>
      <c r="E92" s="113" t="s">
        <v>199</v>
      </c>
      <c r="F92" s="113" t="s">
        <v>200</v>
      </c>
      <c r="G92" s="120">
        <v>46240</v>
      </c>
      <c r="H92" s="120">
        <v>46267</v>
      </c>
      <c r="I92" s="120">
        <v>46261</v>
      </c>
      <c r="J92" s="120">
        <v>46281</v>
      </c>
      <c r="K92" s="120">
        <v>46261</v>
      </c>
      <c r="L92" s="120">
        <v>46281</v>
      </c>
      <c r="M92" s="110" t="s">
        <v>349</v>
      </c>
      <c r="N92" s="113" t="s">
        <v>74</v>
      </c>
      <c r="O92" s="121">
        <v>1</v>
      </c>
      <c r="P92" s="204"/>
      <c r="Q92" s="110" t="s">
        <v>344</v>
      </c>
    </row>
    <row r="93" spans="1:17" x14ac:dyDescent="0.3">
      <c r="A93" s="110" t="s">
        <v>341</v>
      </c>
      <c r="B93" s="116" t="s">
        <v>345</v>
      </c>
      <c r="C93" s="142" t="s">
        <v>355</v>
      </c>
      <c r="D93" s="113" t="s">
        <v>261</v>
      </c>
      <c r="E93" s="113" t="s">
        <v>207</v>
      </c>
      <c r="F93" s="113" t="s">
        <v>200</v>
      </c>
      <c r="G93" s="120">
        <v>46268</v>
      </c>
      <c r="H93" s="120">
        <v>46275</v>
      </c>
      <c r="I93" s="120">
        <v>46282</v>
      </c>
      <c r="J93" s="120">
        <v>46286</v>
      </c>
      <c r="K93" s="120">
        <v>46282</v>
      </c>
      <c r="L93" s="120">
        <v>46286</v>
      </c>
      <c r="M93" s="110" t="s">
        <v>349</v>
      </c>
      <c r="N93" s="113" t="s">
        <v>207</v>
      </c>
      <c r="O93" s="121">
        <v>0</v>
      </c>
      <c r="P93" s="204"/>
      <c r="Q93" s="110" t="s">
        <v>344</v>
      </c>
    </row>
    <row r="94" spans="1:17" x14ac:dyDescent="0.3">
      <c r="A94" s="110" t="s">
        <v>341</v>
      </c>
      <c r="B94" s="116" t="s">
        <v>345</v>
      </c>
      <c r="C94" s="116" t="s">
        <v>347</v>
      </c>
      <c r="D94" s="113" t="s">
        <v>261</v>
      </c>
      <c r="E94" s="113" t="s">
        <v>241</v>
      </c>
      <c r="F94" s="113" t="s">
        <v>200</v>
      </c>
      <c r="G94" s="120">
        <v>46276</v>
      </c>
      <c r="H94" s="120">
        <v>46296</v>
      </c>
      <c r="I94" s="120">
        <v>46293</v>
      </c>
      <c r="J94" s="120">
        <v>46304</v>
      </c>
      <c r="K94" s="120">
        <v>46293</v>
      </c>
      <c r="L94" s="120">
        <v>46304</v>
      </c>
      <c r="M94" s="110" t="s">
        <v>349</v>
      </c>
      <c r="N94" s="113" t="s">
        <v>241</v>
      </c>
      <c r="O94" s="121">
        <v>0</v>
      </c>
      <c r="P94" s="204"/>
      <c r="Q94" s="110" t="s">
        <v>344</v>
      </c>
    </row>
    <row r="95" spans="1:17" x14ac:dyDescent="0.3">
      <c r="A95" s="144" t="s">
        <v>341</v>
      </c>
      <c r="B95" s="116" t="s">
        <v>345</v>
      </c>
      <c r="C95" s="142" t="s">
        <v>356</v>
      </c>
      <c r="D95" s="113" t="s">
        <v>261</v>
      </c>
      <c r="E95" s="113" t="s">
        <v>241</v>
      </c>
      <c r="F95" s="113" t="s">
        <v>200</v>
      </c>
      <c r="G95" s="120">
        <v>46297</v>
      </c>
      <c r="H95" s="120">
        <v>46307</v>
      </c>
      <c r="I95" s="120">
        <v>46307</v>
      </c>
      <c r="J95" s="120">
        <v>46309</v>
      </c>
      <c r="K95" s="120">
        <v>46307</v>
      </c>
      <c r="L95" s="120">
        <v>46309</v>
      </c>
      <c r="M95" s="110" t="s">
        <v>349</v>
      </c>
      <c r="N95" s="113" t="s">
        <v>241</v>
      </c>
      <c r="O95" s="121">
        <v>0</v>
      </c>
      <c r="P95" s="204"/>
      <c r="Q95" s="110" t="s">
        <v>344</v>
      </c>
    </row>
    <row r="96" spans="1:17" x14ac:dyDescent="0.3">
      <c r="A96" s="110" t="s">
        <v>341</v>
      </c>
      <c r="B96" s="116" t="s">
        <v>345</v>
      </c>
      <c r="C96" s="116" t="s">
        <v>259</v>
      </c>
      <c r="D96" s="113" t="s">
        <v>261</v>
      </c>
      <c r="E96" s="113" t="s">
        <v>241</v>
      </c>
      <c r="F96" s="113" t="s">
        <v>200</v>
      </c>
      <c r="G96" s="120">
        <v>46308</v>
      </c>
      <c r="H96" s="120">
        <v>46322</v>
      </c>
      <c r="I96" s="120">
        <v>46310</v>
      </c>
      <c r="J96" s="120">
        <v>46324</v>
      </c>
      <c r="K96" s="120">
        <v>46310</v>
      </c>
      <c r="L96" s="120">
        <v>46324</v>
      </c>
      <c r="M96" s="110" t="s">
        <v>349</v>
      </c>
      <c r="N96" s="113" t="s">
        <v>241</v>
      </c>
      <c r="O96" s="121">
        <v>0</v>
      </c>
      <c r="P96" s="204"/>
      <c r="Q96" s="110" t="s">
        <v>344</v>
      </c>
    </row>
    <row r="97" spans="1:17" x14ac:dyDescent="0.3">
      <c r="A97" s="110" t="s">
        <v>341</v>
      </c>
      <c r="B97" s="116" t="s">
        <v>345</v>
      </c>
      <c r="C97" s="142" t="s">
        <v>357</v>
      </c>
      <c r="D97" s="113" t="s">
        <v>261</v>
      </c>
      <c r="E97" s="113" t="s">
        <v>241</v>
      </c>
      <c r="F97" s="113" t="s">
        <v>200</v>
      </c>
      <c r="G97" s="120">
        <v>46323</v>
      </c>
      <c r="H97" s="120">
        <v>46331</v>
      </c>
      <c r="I97" s="120">
        <v>46325</v>
      </c>
      <c r="J97" s="120">
        <v>46329</v>
      </c>
      <c r="K97" s="120">
        <v>46325</v>
      </c>
      <c r="L97" s="120">
        <v>46329</v>
      </c>
      <c r="M97" s="110" t="s">
        <v>349</v>
      </c>
      <c r="N97" s="113" t="s">
        <v>241</v>
      </c>
      <c r="O97" s="121">
        <v>0</v>
      </c>
      <c r="P97" s="204"/>
      <c r="Q97" s="110" t="s">
        <v>344</v>
      </c>
    </row>
    <row r="98" spans="1:17" x14ac:dyDescent="0.3">
      <c r="A98" s="110" t="s">
        <v>341</v>
      </c>
      <c r="B98" s="116" t="s">
        <v>345</v>
      </c>
      <c r="C98" s="116" t="s">
        <v>348</v>
      </c>
      <c r="D98" s="113" t="s">
        <v>261</v>
      </c>
      <c r="E98" s="113" t="s">
        <v>241</v>
      </c>
      <c r="F98" s="113" t="s">
        <v>200</v>
      </c>
      <c r="G98" s="120">
        <v>46332</v>
      </c>
      <c r="H98" s="120">
        <v>46359</v>
      </c>
      <c r="I98" s="120">
        <v>46332</v>
      </c>
      <c r="J98" s="120">
        <v>46359</v>
      </c>
      <c r="K98" s="120">
        <v>46332</v>
      </c>
      <c r="L98" s="120">
        <v>46359</v>
      </c>
      <c r="M98" s="110" t="s">
        <v>349</v>
      </c>
      <c r="N98" s="113" t="s">
        <v>241</v>
      </c>
      <c r="O98" s="121">
        <v>0</v>
      </c>
      <c r="P98" s="204"/>
      <c r="Q98" s="110" t="s">
        <v>344</v>
      </c>
    </row>
    <row r="99" spans="1:17" x14ac:dyDescent="0.3">
      <c r="A99" s="110" t="s">
        <v>341</v>
      </c>
      <c r="B99" s="116" t="s">
        <v>345</v>
      </c>
      <c r="C99" s="116" t="s">
        <v>278</v>
      </c>
      <c r="D99" s="113" t="s">
        <v>261</v>
      </c>
      <c r="E99" s="113" t="s">
        <v>241</v>
      </c>
      <c r="F99" s="113" t="s">
        <v>200</v>
      </c>
      <c r="G99" s="120">
        <v>46360</v>
      </c>
      <c r="H99" s="120">
        <v>46360</v>
      </c>
      <c r="I99" s="120">
        <v>46360</v>
      </c>
      <c r="J99" s="120">
        <v>46360</v>
      </c>
      <c r="K99" s="120">
        <v>46360</v>
      </c>
      <c r="L99" s="120">
        <v>46360</v>
      </c>
      <c r="M99" s="110" t="s">
        <v>349</v>
      </c>
      <c r="N99" s="113" t="s">
        <v>241</v>
      </c>
      <c r="O99" s="121">
        <v>0</v>
      </c>
      <c r="P99" s="205"/>
      <c r="Q99" s="110" t="s">
        <v>344</v>
      </c>
    </row>
    <row r="100" spans="1:17" x14ac:dyDescent="0.3">
      <c r="A100" s="108"/>
      <c r="B100" s="109"/>
      <c r="C100" s="109"/>
      <c r="D100" s="109"/>
      <c r="E100" s="109"/>
      <c r="F100" s="109"/>
      <c r="G100" s="109"/>
      <c r="H100" s="109"/>
      <c r="I100" s="109"/>
      <c r="J100" s="109"/>
      <c r="K100" s="109"/>
      <c r="L100" s="109"/>
    </row>
  </sheetData>
  <mergeCells count="70">
    <mergeCell ref="F37:F39"/>
    <mergeCell ref="E37:E39"/>
    <mergeCell ref="D37:D39"/>
    <mergeCell ref="C37:C39"/>
    <mergeCell ref="C62:C64"/>
    <mergeCell ref="G21:G24"/>
    <mergeCell ref="H21:H24"/>
    <mergeCell ref="K37:K39"/>
    <mergeCell ref="J37:J39"/>
    <mergeCell ref="I37:I39"/>
    <mergeCell ref="H37:H39"/>
    <mergeCell ref="G37:G39"/>
    <mergeCell ref="H8:H11"/>
    <mergeCell ref="I8:I11"/>
    <mergeCell ref="J8:J11"/>
    <mergeCell ref="I21:I24"/>
    <mergeCell ref="J21:J24"/>
    <mergeCell ref="P70:P79"/>
    <mergeCell ref="P80:P85"/>
    <mergeCell ref="M62:M64"/>
    <mergeCell ref="N62:N64"/>
    <mergeCell ref="O62:O64"/>
    <mergeCell ref="P62:P68"/>
    <mergeCell ref="B62:B64"/>
    <mergeCell ref="D62:D64"/>
    <mergeCell ref="E62:E64"/>
    <mergeCell ref="F62:F64"/>
    <mergeCell ref="K62:K64"/>
    <mergeCell ref="L62:L64"/>
    <mergeCell ref="I62:I64"/>
    <mergeCell ref="J62:J64"/>
    <mergeCell ref="G62:G64"/>
    <mergeCell ref="H62:H64"/>
    <mergeCell ref="P48:P52"/>
    <mergeCell ref="L37:L39"/>
    <mergeCell ref="L21:L24"/>
    <mergeCell ref="B37:B39"/>
    <mergeCell ref="P8:P15"/>
    <mergeCell ref="P16:P20"/>
    <mergeCell ref="M8:M11"/>
    <mergeCell ref="N8:N11"/>
    <mergeCell ref="O8:O11"/>
    <mergeCell ref="M37:M39"/>
    <mergeCell ref="N37:N39"/>
    <mergeCell ref="O37:O39"/>
    <mergeCell ref="P37:P43"/>
    <mergeCell ref="P44:P47"/>
    <mergeCell ref="C21:C24"/>
    <mergeCell ref="G8:G11"/>
    <mergeCell ref="P29:P36"/>
    <mergeCell ref="K21:K24"/>
    <mergeCell ref="O21:O24"/>
    <mergeCell ref="M21:M24"/>
    <mergeCell ref="N21:N24"/>
    <mergeCell ref="P87:P89"/>
    <mergeCell ref="P91:P99"/>
    <mergeCell ref="P2:P7"/>
    <mergeCell ref="B8:B11"/>
    <mergeCell ref="C8:C11"/>
    <mergeCell ref="D8:D11"/>
    <mergeCell ref="E8:E11"/>
    <mergeCell ref="F8:F11"/>
    <mergeCell ref="K8:K11"/>
    <mergeCell ref="L8:L11"/>
    <mergeCell ref="B21:B24"/>
    <mergeCell ref="D21:D24"/>
    <mergeCell ref="E21:E24"/>
    <mergeCell ref="F21:F24"/>
    <mergeCell ref="P53:P61"/>
    <mergeCell ref="P21:P2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043E4-BFDA-4932-9275-2FF45F72796C}">
  <dimension ref="A1:H8"/>
  <sheetViews>
    <sheetView workbookViewId="0">
      <selection activeCell="E13" sqref="E13"/>
    </sheetView>
  </sheetViews>
  <sheetFormatPr defaultRowHeight="15.6" x14ac:dyDescent="0.3"/>
  <cols>
    <col min="1" max="1" width="5.69921875" customWidth="1"/>
    <col min="2" max="2" width="10.09765625" customWidth="1"/>
    <col min="3" max="3" width="17.59765625" customWidth="1"/>
    <col min="4" max="4" width="24.69921875" customWidth="1"/>
    <col min="5" max="5" width="11.09765625" customWidth="1"/>
    <col min="6" max="6" width="15.69921875" customWidth="1"/>
    <col min="7" max="7" width="15.796875" customWidth="1"/>
    <col min="8" max="8" width="12.5" customWidth="1"/>
  </cols>
  <sheetData>
    <row r="1" spans="1:8" x14ac:dyDescent="0.3">
      <c r="A1" s="289" t="s">
        <v>52</v>
      </c>
      <c r="B1" s="289" t="s">
        <v>280</v>
      </c>
      <c r="C1" s="289" t="s">
        <v>534</v>
      </c>
      <c r="D1" s="289" t="s">
        <v>532</v>
      </c>
      <c r="E1" s="289" t="s">
        <v>524</v>
      </c>
      <c r="F1" s="289" t="s">
        <v>282</v>
      </c>
      <c r="G1" s="289" t="s">
        <v>283</v>
      </c>
      <c r="H1" s="289" t="s">
        <v>191</v>
      </c>
    </row>
    <row r="2" spans="1:8" ht="31.2" x14ac:dyDescent="0.3">
      <c r="A2" s="58">
        <v>1</v>
      </c>
      <c r="B2" s="58" t="s">
        <v>88</v>
      </c>
      <c r="C2" s="66" t="s">
        <v>308</v>
      </c>
      <c r="D2" s="58" t="s">
        <v>525</v>
      </c>
      <c r="E2" s="68">
        <v>1</v>
      </c>
      <c r="F2" s="290">
        <v>45685</v>
      </c>
      <c r="G2" s="290">
        <v>45685</v>
      </c>
      <c r="H2" s="293">
        <v>1</v>
      </c>
    </row>
    <row r="3" spans="1:8" ht="31.2" x14ac:dyDescent="0.3">
      <c r="A3" s="58">
        <v>2</v>
      </c>
      <c r="B3" s="58" t="s">
        <v>88</v>
      </c>
      <c r="C3" s="66" t="s">
        <v>308</v>
      </c>
      <c r="D3" s="58" t="s">
        <v>526</v>
      </c>
      <c r="E3" s="68">
        <v>62</v>
      </c>
      <c r="F3" s="290">
        <v>45686</v>
      </c>
      <c r="G3" s="290">
        <v>45747</v>
      </c>
      <c r="H3" s="293">
        <v>1</v>
      </c>
    </row>
    <row r="4" spans="1:8" ht="34.799999999999997" customHeight="1" x14ac:dyDescent="0.3">
      <c r="A4" s="58">
        <v>3</v>
      </c>
      <c r="B4" s="58" t="s">
        <v>88</v>
      </c>
      <c r="C4" s="66" t="s">
        <v>308</v>
      </c>
      <c r="D4" s="294" t="s">
        <v>354</v>
      </c>
      <c r="E4" s="68">
        <v>101</v>
      </c>
      <c r="F4" s="290">
        <v>46143</v>
      </c>
      <c r="G4" s="290">
        <v>46283</v>
      </c>
      <c r="H4" s="293">
        <v>1</v>
      </c>
    </row>
    <row r="5" spans="1:8" ht="31.2" x14ac:dyDescent="0.3">
      <c r="A5" s="58">
        <v>4</v>
      </c>
      <c r="B5" s="58" t="s">
        <v>88</v>
      </c>
      <c r="C5" s="66" t="s">
        <v>308</v>
      </c>
      <c r="D5" s="58" t="s">
        <v>257</v>
      </c>
      <c r="E5" s="68">
        <v>7</v>
      </c>
      <c r="F5" s="290">
        <v>46212</v>
      </c>
      <c r="G5" s="290">
        <v>46303</v>
      </c>
      <c r="H5" s="293">
        <v>0.9</v>
      </c>
    </row>
    <row r="6" spans="1:8" ht="31.2" x14ac:dyDescent="0.3">
      <c r="A6" s="58">
        <v>5</v>
      </c>
      <c r="B6" s="58" t="s">
        <v>88</v>
      </c>
      <c r="C6" s="66" t="s">
        <v>308</v>
      </c>
      <c r="D6" s="58" t="s">
        <v>259</v>
      </c>
      <c r="E6" s="68">
        <v>7</v>
      </c>
      <c r="F6" s="290">
        <v>46231</v>
      </c>
      <c r="G6" s="290">
        <v>46315</v>
      </c>
      <c r="H6" s="293">
        <v>0.8</v>
      </c>
    </row>
    <row r="7" spans="1:8" ht="31.2" x14ac:dyDescent="0.3">
      <c r="A7" s="58">
        <v>6</v>
      </c>
      <c r="B7" s="58" t="s">
        <v>88</v>
      </c>
      <c r="C7" s="66" t="s">
        <v>308</v>
      </c>
      <c r="D7" s="58" t="s">
        <v>348</v>
      </c>
      <c r="E7" s="68">
        <v>7</v>
      </c>
      <c r="F7" s="290">
        <v>46314</v>
      </c>
      <c r="G7" s="290">
        <v>46348</v>
      </c>
      <c r="H7" s="293">
        <v>0</v>
      </c>
    </row>
    <row r="8" spans="1:8" ht="31.2" x14ac:dyDescent="0.3">
      <c r="A8" s="58">
        <v>7</v>
      </c>
      <c r="B8" s="58" t="s">
        <v>88</v>
      </c>
      <c r="C8" s="66" t="s">
        <v>308</v>
      </c>
      <c r="D8" s="58" t="s">
        <v>527</v>
      </c>
      <c r="E8" s="68">
        <v>2</v>
      </c>
      <c r="F8" s="290">
        <v>46352</v>
      </c>
      <c r="G8" s="290">
        <v>46353</v>
      </c>
      <c r="H8" s="29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FDC64-A7E6-4C95-BA78-6A4AD302A826}">
  <dimension ref="A1:H13"/>
  <sheetViews>
    <sheetView workbookViewId="0">
      <selection activeCell="D3" sqref="D3"/>
    </sheetView>
  </sheetViews>
  <sheetFormatPr defaultRowHeight="19.8" customHeight="1" x14ac:dyDescent="0.3"/>
  <cols>
    <col min="1" max="1" width="5.3984375" customWidth="1"/>
    <col min="2" max="2" width="8.5" customWidth="1"/>
    <col min="3" max="3" width="16.59765625" customWidth="1"/>
    <col min="4" max="4" width="23.8984375" customWidth="1"/>
    <col min="5" max="5" width="10.8984375" customWidth="1"/>
    <col min="6" max="6" width="13.3984375" customWidth="1"/>
    <col min="7" max="7" width="13.5" customWidth="1"/>
    <col min="8" max="8" width="12.796875" customWidth="1"/>
  </cols>
  <sheetData>
    <row r="1" spans="1:8" ht="19.8" customHeight="1" x14ac:dyDescent="0.3">
      <c r="A1" s="289" t="s">
        <v>52</v>
      </c>
      <c r="B1" s="289" t="s">
        <v>280</v>
      </c>
      <c r="C1" s="289" t="s">
        <v>534</v>
      </c>
      <c r="D1" s="289" t="s">
        <v>523</v>
      </c>
      <c r="E1" s="289" t="s">
        <v>524</v>
      </c>
      <c r="F1" s="289" t="s">
        <v>282</v>
      </c>
      <c r="G1" s="289" t="s">
        <v>283</v>
      </c>
      <c r="H1" s="289" t="s">
        <v>191</v>
      </c>
    </row>
    <row r="2" spans="1:8" ht="19.8" customHeight="1" x14ac:dyDescent="0.3">
      <c r="A2" s="67">
        <v>1</v>
      </c>
      <c r="B2" s="67" t="s">
        <v>341</v>
      </c>
      <c r="C2" s="67" t="s">
        <v>344</v>
      </c>
      <c r="D2" s="67" t="s">
        <v>525</v>
      </c>
      <c r="E2" s="291">
        <v>1</v>
      </c>
      <c r="F2" s="292">
        <v>45813</v>
      </c>
      <c r="G2" s="292">
        <v>45813</v>
      </c>
      <c r="H2" s="101">
        <v>1</v>
      </c>
    </row>
    <row r="3" spans="1:8" ht="19.8" customHeight="1" x14ac:dyDescent="0.3">
      <c r="A3" s="67">
        <v>2</v>
      </c>
      <c r="B3" s="67" t="s">
        <v>341</v>
      </c>
      <c r="C3" s="67" t="s">
        <v>344</v>
      </c>
      <c r="D3" s="67" t="s">
        <v>526</v>
      </c>
      <c r="E3" s="291">
        <v>90</v>
      </c>
      <c r="F3" s="292">
        <v>45814</v>
      </c>
      <c r="G3" s="292">
        <v>45939</v>
      </c>
      <c r="H3" s="101">
        <v>1</v>
      </c>
    </row>
    <row r="4" spans="1:8" ht="23.4" customHeight="1" x14ac:dyDescent="0.3">
      <c r="A4" s="67">
        <v>3</v>
      </c>
      <c r="B4" s="67" t="s">
        <v>341</v>
      </c>
      <c r="C4" s="67" t="s">
        <v>344</v>
      </c>
      <c r="D4" s="180" t="s">
        <v>528</v>
      </c>
      <c r="E4" s="291">
        <v>7</v>
      </c>
      <c r="F4" s="292">
        <v>45940</v>
      </c>
      <c r="G4" s="292">
        <v>45950</v>
      </c>
      <c r="H4" s="101">
        <v>1</v>
      </c>
    </row>
    <row r="5" spans="1:8" ht="36" customHeight="1" x14ac:dyDescent="0.3">
      <c r="A5" s="67">
        <v>4</v>
      </c>
      <c r="B5" s="67" t="s">
        <v>341</v>
      </c>
      <c r="C5" s="67" t="s">
        <v>344</v>
      </c>
      <c r="D5" s="180" t="s">
        <v>354</v>
      </c>
      <c r="E5" s="291">
        <v>222</v>
      </c>
      <c r="F5" s="292">
        <v>45951</v>
      </c>
      <c r="G5" s="292">
        <v>46260</v>
      </c>
      <c r="H5" s="101">
        <v>1</v>
      </c>
    </row>
    <row r="6" spans="1:8" ht="19.8" customHeight="1" x14ac:dyDescent="0.3">
      <c r="A6" s="67">
        <v>5</v>
      </c>
      <c r="B6" s="67" t="s">
        <v>341</v>
      </c>
      <c r="C6" s="67" t="s">
        <v>344</v>
      </c>
      <c r="D6" s="67" t="s">
        <v>257</v>
      </c>
      <c r="E6" s="291">
        <v>15</v>
      </c>
      <c r="F6" s="292">
        <v>46261</v>
      </c>
      <c r="G6" s="292">
        <v>46281</v>
      </c>
      <c r="H6" s="101">
        <v>1</v>
      </c>
    </row>
    <row r="7" spans="1:8" ht="19.8" customHeight="1" x14ac:dyDescent="0.3">
      <c r="A7" s="67">
        <v>6</v>
      </c>
      <c r="B7" s="67" t="s">
        <v>341</v>
      </c>
      <c r="C7" s="67" t="s">
        <v>344</v>
      </c>
      <c r="D7" s="67" t="s">
        <v>529</v>
      </c>
      <c r="E7" s="291">
        <v>3</v>
      </c>
      <c r="F7" s="292">
        <v>46282</v>
      </c>
      <c r="G7" s="292">
        <v>46286</v>
      </c>
      <c r="H7" s="101">
        <v>1</v>
      </c>
    </row>
    <row r="8" spans="1:8" ht="19.8" customHeight="1" x14ac:dyDescent="0.3">
      <c r="A8" s="67">
        <v>7</v>
      </c>
      <c r="B8" s="67" t="s">
        <v>341</v>
      </c>
      <c r="C8" s="67" t="s">
        <v>344</v>
      </c>
      <c r="D8" s="67" t="s">
        <v>347</v>
      </c>
      <c r="E8" s="291">
        <v>10</v>
      </c>
      <c r="F8" s="292">
        <v>46293</v>
      </c>
      <c r="G8" s="292">
        <v>46304</v>
      </c>
      <c r="H8" s="101">
        <v>0</v>
      </c>
    </row>
    <row r="9" spans="1:8" ht="19.8" customHeight="1" x14ac:dyDescent="0.3">
      <c r="A9" s="67">
        <v>8</v>
      </c>
      <c r="B9" s="67" t="s">
        <v>341</v>
      </c>
      <c r="C9" s="67" t="s">
        <v>344</v>
      </c>
      <c r="D9" s="67" t="s">
        <v>530</v>
      </c>
      <c r="E9" s="291">
        <v>3</v>
      </c>
      <c r="F9" s="292">
        <v>46307</v>
      </c>
      <c r="G9" s="292">
        <v>46309</v>
      </c>
      <c r="H9" s="101">
        <v>0</v>
      </c>
    </row>
    <row r="10" spans="1:8" ht="19.8" customHeight="1" x14ac:dyDescent="0.3">
      <c r="A10" s="67">
        <v>9</v>
      </c>
      <c r="B10" s="67" t="s">
        <v>341</v>
      </c>
      <c r="C10" s="67" t="s">
        <v>344</v>
      </c>
      <c r="D10" s="67" t="s">
        <v>259</v>
      </c>
      <c r="E10" s="291">
        <v>11</v>
      </c>
      <c r="F10" s="292">
        <v>46310</v>
      </c>
      <c r="G10" s="292">
        <v>46324</v>
      </c>
      <c r="H10" s="101">
        <v>0</v>
      </c>
    </row>
    <row r="11" spans="1:8" ht="19.8" customHeight="1" x14ac:dyDescent="0.3">
      <c r="A11" s="67">
        <v>10</v>
      </c>
      <c r="B11" s="67" t="s">
        <v>341</v>
      </c>
      <c r="C11" s="67" t="s">
        <v>344</v>
      </c>
      <c r="D11" s="67" t="s">
        <v>531</v>
      </c>
      <c r="E11" s="291">
        <v>3</v>
      </c>
      <c r="F11" s="292">
        <v>46325</v>
      </c>
      <c r="G11" s="292">
        <v>46329</v>
      </c>
      <c r="H11" s="101">
        <v>0</v>
      </c>
    </row>
    <row r="12" spans="1:8" ht="19.8" customHeight="1" x14ac:dyDescent="0.3">
      <c r="A12" s="67">
        <v>11</v>
      </c>
      <c r="B12" s="67" t="s">
        <v>341</v>
      </c>
      <c r="C12" s="67" t="s">
        <v>344</v>
      </c>
      <c r="D12" s="67" t="s">
        <v>348</v>
      </c>
      <c r="E12" s="291">
        <v>20</v>
      </c>
      <c r="F12" s="292">
        <v>46332</v>
      </c>
      <c r="G12" s="292">
        <v>46359</v>
      </c>
      <c r="H12" s="101">
        <v>0</v>
      </c>
    </row>
    <row r="13" spans="1:8" ht="19.8" customHeight="1" x14ac:dyDescent="0.3">
      <c r="A13" s="67">
        <v>12</v>
      </c>
      <c r="B13" s="67" t="s">
        <v>341</v>
      </c>
      <c r="C13" s="67" t="s">
        <v>344</v>
      </c>
      <c r="D13" s="67" t="s">
        <v>527</v>
      </c>
      <c r="E13" s="291">
        <v>1</v>
      </c>
      <c r="F13" s="292">
        <v>46360</v>
      </c>
      <c r="G13" s="292">
        <v>46360</v>
      </c>
      <c r="H13" s="101">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12499-2C0E-40FF-924F-00D9787D44CF}">
  <dimension ref="A1:H12"/>
  <sheetViews>
    <sheetView tabSelected="1" workbookViewId="0">
      <selection activeCell="E6" sqref="E6"/>
    </sheetView>
  </sheetViews>
  <sheetFormatPr defaultRowHeight="15.6" x14ac:dyDescent="0.3"/>
  <cols>
    <col min="3" max="3" width="16.796875" customWidth="1"/>
    <col min="4" max="4" width="18.796875" customWidth="1"/>
    <col min="5" max="5" width="13.5" customWidth="1"/>
    <col min="6" max="6" width="14.5" customWidth="1"/>
    <col min="7" max="7" width="15.3984375" customWidth="1"/>
    <col min="8" max="8" width="18.19921875" customWidth="1"/>
  </cols>
  <sheetData>
    <row r="1" spans="1:8" x14ac:dyDescent="0.3">
      <c r="A1" s="289" t="s">
        <v>52</v>
      </c>
      <c r="B1" s="289" t="s">
        <v>280</v>
      </c>
      <c r="C1" s="289" t="s">
        <v>534</v>
      </c>
      <c r="D1" s="289" t="s">
        <v>523</v>
      </c>
      <c r="E1" s="289" t="s">
        <v>524</v>
      </c>
      <c r="F1" s="289" t="s">
        <v>282</v>
      </c>
      <c r="G1" s="289" t="s">
        <v>283</v>
      </c>
      <c r="H1" s="289" t="s">
        <v>191</v>
      </c>
    </row>
    <row r="2" spans="1:8" x14ac:dyDescent="0.3">
      <c r="A2">
        <v>1</v>
      </c>
      <c r="B2" t="s">
        <v>281</v>
      </c>
      <c r="C2" t="s">
        <v>533</v>
      </c>
    </row>
    <row r="3" spans="1:8" x14ac:dyDescent="0.3">
      <c r="A3">
        <v>2</v>
      </c>
      <c r="B3" t="s">
        <v>281</v>
      </c>
      <c r="C3" t="s">
        <v>533</v>
      </c>
    </row>
    <row r="4" spans="1:8" x14ac:dyDescent="0.3">
      <c r="A4">
        <v>3</v>
      </c>
      <c r="B4" t="s">
        <v>281</v>
      </c>
      <c r="C4" t="s">
        <v>533</v>
      </c>
    </row>
    <row r="5" spans="1:8" x14ac:dyDescent="0.3">
      <c r="A5">
        <v>4</v>
      </c>
      <c r="B5" t="s">
        <v>281</v>
      </c>
      <c r="C5" t="s">
        <v>533</v>
      </c>
    </row>
    <row r="6" spans="1:8" x14ac:dyDescent="0.3">
      <c r="A6">
        <v>5</v>
      </c>
      <c r="B6" t="s">
        <v>281</v>
      </c>
      <c r="C6" t="s">
        <v>533</v>
      </c>
    </row>
    <row r="7" spans="1:8" x14ac:dyDescent="0.3">
      <c r="A7">
        <v>6</v>
      </c>
      <c r="B7" t="s">
        <v>281</v>
      </c>
      <c r="C7" t="s">
        <v>533</v>
      </c>
    </row>
    <row r="8" spans="1:8" x14ac:dyDescent="0.3">
      <c r="A8">
        <v>7</v>
      </c>
      <c r="B8" t="s">
        <v>281</v>
      </c>
      <c r="C8" t="s">
        <v>533</v>
      </c>
    </row>
    <row r="9" spans="1:8" x14ac:dyDescent="0.3">
      <c r="A9">
        <v>8</v>
      </c>
      <c r="B9" t="s">
        <v>281</v>
      </c>
      <c r="C9" t="s">
        <v>533</v>
      </c>
    </row>
    <row r="10" spans="1:8" x14ac:dyDescent="0.3">
      <c r="A10">
        <v>9</v>
      </c>
      <c r="B10" t="s">
        <v>281</v>
      </c>
      <c r="C10" t="s">
        <v>533</v>
      </c>
    </row>
    <row r="11" spans="1:8" x14ac:dyDescent="0.3">
      <c r="A11">
        <v>10</v>
      </c>
      <c r="B11" t="s">
        <v>281</v>
      </c>
      <c r="C11" t="s">
        <v>533</v>
      </c>
    </row>
    <row r="12" spans="1:8" x14ac:dyDescent="0.3">
      <c r="A12">
        <v>11</v>
      </c>
      <c r="B12" t="s">
        <v>281</v>
      </c>
      <c r="C12" t="s">
        <v>533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291B4-690C-4B51-A546-9EEB6B55B877}">
  <dimension ref="A1:I66"/>
  <sheetViews>
    <sheetView zoomScale="80" zoomScaleNormal="80" workbookViewId="0">
      <selection activeCell="E66" sqref="E66"/>
    </sheetView>
  </sheetViews>
  <sheetFormatPr defaultRowHeight="15.6" x14ac:dyDescent="0.3"/>
  <cols>
    <col min="1" max="1" width="4.5" style="277" customWidth="1"/>
    <col min="2" max="2" width="23.8984375" style="277" customWidth="1"/>
    <col min="3" max="3" width="25.59765625" style="277" customWidth="1"/>
    <col min="4" max="4" width="31.796875" style="277" customWidth="1"/>
    <col min="5" max="5" width="23.69921875" style="288" customWidth="1"/>
    <col min="6" max="6" width="11" style="277" customWidth="1"/>
    <col min="7" max="7" width="20.3984375" style="277" customWidth="1"/>
    <col min="8" max="8" width="12.796875" style="277" customWidth="1"/>
    <col min="9" max="9" width="32.296875" style="277" customWidth="1"/>
    <col min="10" max="16384" width="8.796875" style="277"/>
  </cols>
  <sheetData>
    <row r="1" spans="1:9" x14ac:dyDescent="0.3">
      <c r="A1" s="275" t="s">
        <v>52</v>
      </c>
      <c r="B1" s="275" t="s">
        <v>393</v>
      </c>
      <c r="C1" s="275" t="s">
        <v>394</v>
      </c>
      <c r="D1" s="275" t="s">
        <v>395</v>
      </c>
      <c r="E1" s="276" t="s">
        <v>396</v>
      </c>
      <c r="F1" s="275" t="s">
        <v>397</v>
      </c>
      <c r="G1" s="275" t="s">
        <v>391</v>
      </c>
      <c r="H1" s="275" t="s">
        <v>390</v>
      </c>
      <c r="I1" s="275" t="s">
        <v>398</v>
      </c>
    </row>
    <row r="2" spans="1:9" ht="46.8" x14ac:dyDescent="0.3">
      <c r="A2" s="278">
        <v>1</v>
      </c>
      <c r="B2" s="71" t="s">
        <v>399</v>
      </c>
      <c r="C2" s="279" t="s">
        <v>400</v>
      </c>
      <c r="D2" s="280" t="s">
        <v>401</v>
      </c>
      <c r="E2" s="280" t="s">
        <v>402</v>
      </c>
      <c r="F2" s="281">
        <v>0.5</v>
      </c>
      <c r="G2" s="279" t="s">
        <v>403</v>
      </c>
      <c r="H2" s="282">
        <v>46387</v>
      </c>
      <c r="I2" s="279"/>
    </row>
    <row r="3" spans="1:9" ht="46.8" x14ac:dyDescent="0.3">
      <c r="A3" s="278"/>
      <c r="B3" s="71" t="s">
        <v>399</v>
      </c>
      <c r="C3" s="279" t="s">
        <v>404</v>
      </c>
      <c r="D3" s="280" t="s">
        <v>405</v>
      </c>
      <c r="E3" s="280" t="s">
        <v>406</v>
      </c>
      <c r="F3" s="281">
        <v>0.5</v>
      </c>
      <c r="G3" s="279" t="s">
        <v>403</v>
      </c>
      <c r="H3" s="282">
        <v>46387</v>
      </c>
      <c r="I3" s="279"/>
    </row>
    <row r="4" spans="1:9" ht="31.2" x14ac:dyDescent="0.3">
      <c r="A4" s="278"/>
      <c r="B4" s="71" t="s">
        <v>399</v>
      </c>
      <c r="C4" s="279" t="s">
        <v>407</v>
      </c>
      <c r="D4" s="280" t="s">
        <v>408</v>
      </c>
      <c r="E4" s="280" t="s">
        <v>409</v>
      </c>
      <c r="F4" s="281">
        <v>0.7</v>
      </c>
      <c r="G4" s="279" t="s">
        <v>403</v>
      </c>
      <c r="H4" s="282">
        <v>46387</v>
      </c>
      <c r="I4" s="279"/>
    </row>
    <row r="5" spans="1:9" ht="62.4" x14ac:dyDescent="0.3">
      <c r="A5" s="278"/>
      <c r="B5" s="71" t="s">
        <v>399</v>
      </c>
      <c r="C5" s="279" t="s">
        <v>410</v>
      </c>
      <c r="D5" s="280" t="s">
        <v>411</v>
      </c>
      <c r="E5" s="280" t="s">
        <v>409</v>
      </c>
      <c r="F5" s="281">
        <v>0.7</v>
      </c>
      <c r="G5" s="279" t="s">
        <v>403</v>
      </c>
      <c r="H5" s="282">
        <v>46387</v>
      </c>
      <c r="I5" s="279"/>
    </row>
    <row r="6" spans="1:9" s="285" customFormat="1" x14ac:dyDescent="0.3">
      <c r="A6" s="283"/>
      <c r="B6" s="283"/>
      <c r="C6" s="283"/>
      <c r="D6" s="284"/>
      <c r="E6" s="284"/>
      <c r="F6" s="283"/>
      <c r="G6" s="283"/>
      <c r="H6" s="283"/>
      <c r="I6" s="283"/>
    </row>
    <row r="7" spans="1:9" ht="46.8" x14ac:dyDescent="0.3">
      <c r="A7" s="278">
        <v>2</v>
      </c>
      <c r="B7" s="71" t="s">
        <v>412</v>
      </c>
      <c r="C7" s="279" t="s">
        <v>413</v>
      </c>
      <c r="D7" s="280" t="s">
        <v>414</v>
      </c>
      <c r="E7" s="280" t="s">
        <v>402</v>
      </c>
      <c r="F7" s="281">
        <v>0.6</v>
      </c>
      <c r="G7" s="279" t="s">
        <v>392</v>
      </c>
      <c r="H7" s="282">
        <v>46387</v>
      </c>
      <c r="I7" s="279"/>
    </row>
    <row r="8" spans="1:9" ht="62.4" x14ac:dyDescent="0.3">
      <c r="A8" s="278"/>
      <c r="B8" s="71" t="s">
        <v>412</v>
      </c>
      <c r="C8" s="279" t="s">
        <v>415</v>
      </c>
      <c r="D8" s="280" t="s">
        <v>416</v>
      </c>
      <c r="E8" s="280" t="s">
        <v>417</v>
      </c>
      <c r="F8" s="281">
        <v>0.7</v>
      </c>
      <c r="G8" s="279" t="s">
        <v>392</v>
      </c>
      <c r="H8" s="282">
        <v>46387</v>
      </c>
      <c r="I8" s="279"/>
    </row>
    <row r="9" spans="1:9" ht="62.4" x14ac:dyDescent="0.3">
      <c r="A9" s="278"/>
      <c r="B9" s="71" t="s">
        <v>412</v>
      </c>
      <c r="C9" s="279" t="s">
        <v>418</v>
      </c>
      <c r="D9" s="280" t="s">
        <v>419</v>
      </c>
      <c r="E9" s="280" t="s">
        <v>417</v>
      </c>
      <c r="F9" s="281">
        <v>0.6</v>
      </c>
      <c r="G9" s="279" t="s">
        <v>392</v>
      </c>
      <c r="H9" s="282">
        <v>46387</v>
      </c>
      <c r="I9" s="279"/>
    </row>
    <row r="10" spans="1:9" ht="62.4" x14ac:dyDescent="0.3">
      <c r="A10" s="278"/>
      <c r="B10" s="71" t="s">
        <v>412</v>
      </c>
      <c r="C10" s="279" t="s">
        <v>420</v>
      </c>
      <c r="D10" s="280" t="s">
        <v>421</v>
      </c>
      <c r="E10" s="280" t="s">
        <v>417</v>
      </c>
      <c r="F10" s="281">
        <v>0.8</v>
      </c>
      <c r="G10" s="279" t="s">
        <v>392</v>
      </c>
      <c r="H10" s="282">
        <v>46387</v>
      </c>
      <c r="I10" s="279"/>
    </row>
    <row r="11" spans="1:9" ht="32.4" customHeight="1" x14ac:dyDescent="0.3">
      <c r="A11" s="278"/>
      <c r="B11" s="71" t="s">
        <v>412</v>
      </c>
      <c r="C11" s="279" t="s">
        <v>422</v>
      </c>
      <c r="D11" s="280" t="s">
        <v>423</v>
      </c>
      <c r="E11" s="280" t="s">
        <v>417</v>
      </c>
      <c r="F11" s="281">
        <v>0.6</v>
      </c>
      <c r="G11" s="279" t="s">
        <v>392</v>
      </c>
      <c r="H11" s="282">
        <v>46387</v>
      </c>
      <c r="I11" s="279"/>
    </row>
    <row r="12" spans="1:9" ht="46.8" customHeight="1" x14ac:dyDescent="0.3">
      <c r="A12" s="278"/>
      <c r="B12" s="71" t="s">
        <v>412</v>
      </c>
      <c r="C12" s="279" t="s">
        <v>410</v>
      </c>
      <c r="D12" s="280" t="s">
        <v>424</v>
      </c>
      <c r="E12" s="280" t="s">
        <v>409</v>
      </c>
      <c r="F12" s="281">
        <v>0.7</v>
      </c>
      <c r="G12" s="279" t="s">
        <v>392</v>
      </c>
      <c r="H12" s="282">
        <v>46387</v>
      </c>
      <c r="I12" s="279"/>
    </row>
    <row r="13" spans="1:9" ht="30.6" customHeight="1" x14ac:dyDescent="0.3">
      <c r="A13" s="278"/>
      <c r="B13" s="71" t="s">
        <v>412</v>
      </c>
      <c r="C13" s="279" t="s">
        <v>425</v>
      </c>
      <c r="D13" s="279" t="s">
        <v>426</v>
      </c>
      <c r="E13" s="280" t="s">
        <v>409</v>
      </c>
      <c r="F13" s="281">
        <v>0.8</v>
      </c>
      <c r="G13" s="279" t="s">
        <v>392</v>
      </c>
      <c r="H13" s="282">
        <v>46387</v>
      </c>
      <c r="I13" s="279"/>
    </row>
    <row r="14" spans="1:9" s="285" customFormat="1" ht="18" customHeight="1" x14ac:dyDescent="0.3">
      <c r="A14" s="283"/>
      <c r="B14" s="283"/>
      <c r="C14" s="283"/>
      <c r="D14" s="283"/>
      <c r="E14" s="284"/>
      <c r="F14" s="283"/>
      <c r="G14" s="283"/>
      <c r="H14" s="283"/>
      <c r="I14" s="283"/>
    </row>
    <row r="15" spans="1:9" ht="19.2" customHeight="1" x14ac:dyDescent="0.3">
      <c r="A15" s="278">
        <v>3</v>
      </c>
      <c r="B15" s="71" t="s">
        <v>184</v>
      </c>
      <c r="C15" s="279" t="s">
        <v>427</v>
      </c>
      <c r="D15" s="279" t="s">
        <v>428</v>
      </c>
      <c r="E15" s="280" t="s">
        <v>429</v>
      </c>
      <c r="F15" s="281">
        <v>0.6</v>
      </c>
      <c r="G15" s="279" t="s">
        <v>392</v>
      </c>
      <c r="H15" s="282">
        <v>46387</v>
      </c>
      <c r="I15" s="279"/>
    </row>
    <row r="16" spans="1:9" ht="46.8" x14ac:dyDescent="0.3">
      <c r="A16" s="278"/>
      <c r="B16" s="71" t="s">
        <v>184</v>
      </c>
      <c r="C16" s="279" t="s">
        <v>430</v>
      </c>
      <c r="D16" s="280" t="s">
        <v>431</v>
      </c>
      <c r="E16" s="280" t="s">
        <v>417</v>
      </c>
      <c r="F16" s="281">
        <v>0.7</v>
      </c>
      <c r="G16" s="279" t="s">
        <v>392</v>
      </c>
      <c r="H16" s="282">
        <v>46387</v>
      </c>
      <c r="I16" s="279"/>
    </row>
    <row r="17" spans="1:9" ht="62.4" x14ac:dyDescent="0.3">
      <c r="A17" s="278"/>
      <c r="B17" s="71" t="s">
        <v>184</v>
      </c>
      <c r="C17" s="279" t="s">
        <v>432</v>
      </c>
      <c r="D17" s="280" t="s">
        <v>433</v>
      </c>
      <c r="E17" s="280" t="s">
        <v>434</v>
      </c>
      <c r="F17" s="281">
        <v>0.7</v>
      </c>
      <c r="G17" s="279" t="s">
        <v>392</v>
      </c>
      <c r="H17" s="282">
        <v>46387</v>
      </c>
      <c r="I17" s="279"/>
    </row>
    <row r="18" spans="1:9" ht="62.4" x14ac:dyDescent="0.3">
      <c r="A18" s="278"/>
      <c r="B18" s="71" t="s">
        <v>184</v>
      </c>
      <c r="C18" s="279" t="s">
        <v>420</v>
      </c>
      <c r="D18" s="280" t="s">
        <v>435</v>
      </c>
      <c r="E18" s="280" t="s">
        <v>417</v>
      </c>
      <c r="F18" s="281">
        <v>0.8</v>
      </c>
      <c r="G18" s="279" t="s">
        <v>392</v>
      </c>
      <c r="H18" s="282">
        <v>46387</v>
      </c>
      <c r="I18" s="279"/>
    </row>
    <row r="19" spans="1:9" ht="46.8" x14ac:dyDescent="0.3">
      <c r="A19" s="278"/>
      <c r="B19" s="71" t="s">
        <v>184</v>
      </c>
      <c r="C19" s="279" t="s">
        <v>410</v>
      </c>
      <c r="D19" s="280" t="s">
        <v>436</v>
      </c>
      <c r="E19" s="280" t="s">
        <v>409</v>
      </c>
      <c r="F19" s="281">
        <v>0.7</v>
      </c>
      <c r="G19" s="279" t="s">
        <v>392</v>
      </c>
      <c r="H19" s="282">
        <v>46387</v>
      </c>
      <c r="I19" s="279"/>
    </row>
    <row r="20" spans="1:9" s="285" customFormat="1" x14ac:dyDescent="0.3">
      <c r="A20" s="283"/>
      <c r="B20" s="283"/>
      <c r="C20" s="283"/>
      <c r="D20" s="284"/>
      <c r="E20" s="284"/>
      <c r="F20" s="283"/>
      <c r="G20" s="283"/>
      <c r="H20" s="283"/>
      <c r="I20" s="283"/>
    </row>
    <row r="21" spans="1:9" ht="171.6" x14ac:dyDescent="0.3">
      <c r="A21" s="278">
        <v>4</v>
      </c>
      <c r="B21" s="71" t="s">
        <v>437</v>
      </c>
      <c r="C21" s="279" t="s">
        <v>438</v>
      </c>
      <c r="D21" s="280" t="s">
        <v>439</v>
      </c>
      <c r="E21" s="280" t="s">
        <v>409</v>
      </c>
      <c r="F21" s="281">
        <v>0.6</v>
      </c>
      <c r="G21" s="279" t="s">
        <v>392</v>
      </c>
      <c r="H21" s="282">
        <v>46387</v>
      </c>
      <c r="I21" s="279"/>
    </row>
    <row r="22" spans="1:9" ht="31.2" x14ac:dyDescent="0.3">
      <c r="A22" s="278"/>
      <c r="B22" s="71" t="s">
        <v>437</v>
      </c>
      <c r="C22" s="279" t="s">
        <v>440</v>
      </c>
      <c r="D22" s="72" t="s">
        <v>441</v>
      </c>
      <c r="E22" s="280" t="s">
        <v>409</v>
      </c>
      <c r="F22" s="281">
        <v>0.6</v>
      </c>
      <c r="G22" s="279" t="s">
        <v>392</v>
      </c>
      <c r="H22" s="282">
        <v>46387</v>
      </c>
      <c r="I22" s="279"/>
    </row>
    <row r="23" spans="1:9" s="285" customFormat="1" x14ac:dyDescent="0.3">
      <c r="A23" s="283"/>
      <c r="B23" s="283"/>
      <c r="C23" s="283"/>
      <c r="D23" s="286"/>
      <c r="E23" s="284"/>
      <c r="F23" s="283"/>
      <c r="G23" s="283"/>
      <c r="H23" s="283"/>
      <c r="I23" s="283"/>
    </row>
    <row r="24" spans="1:9" ht="46.8" x14ac:dyDescent="0.3">
      <c r="A24" s="278">
        <v>5</v>
      </c>
      <c r="B24" s="71" t="s">
        <v>442</v>
      </c>
      <c r="C24" s="71" t="s">
        <v>443</v>
      </c>
      <c r="D24" s="72" t="s">
        <v>444</v>
      </c>
      <c r="E24" s="280" t="s">
        <v>409</v>
      </c>
      <c r="F24" s="281">
        <v>0.6</v>
      </c>
      <c r="G24" s="279" t="s">
        <v>392</v>
      </c>
      <c r="H24" s="282">
        <v>46387</v>
      </c>
      <c r="I24" s="279"/>
    </row>
    <row r="25" spans="1:9" ht="140.4" x14ac:dyDescent="0.3">
      <c r="A25" s="278"/>
      <c r="B25" s="71" t="s">
        <v>442</v>
      </c>
      <c r="C25" s="71" t="s">
        <v>445</v>
      </c>
      <c r="D25" s="72" t="s">
        <v>446</v>
      </c>
      <c r="E25" s="280" t="s">
        <v>409</v>
      </c>
      <c r="F25" s="281">
        <v>0.5</v>
      </c>
      <c r="G25" s="279" t="s">
        <v>392</v>
      </c>
      <c r="H25" s="282">
        <v>46387</v>
      </c>
      <c r="I25" s="279"/>
    </row>
    <row r="26" spans="1:9" ht="31.2" x14ac:dyDescent="0.3">
      <c r="A26" s="278"/>
      <c r="B26" s="71" t="s">
        <v>442</v>
      </c>
      <c r="C26" s="71" t="s">
        <v>447</v>
      </c>
      <c r="D26" s="72" t="s">
        <v>448</v>
      </c>
      <c r="E26" s="280" t="s">
        <v>409</v>
      </c>
      <c r="F26" s="281">
        <v>0.7</v>
      </c>
      <c r="G26" s="279" t="s">
        <v>392</v>
      </c>
      <c r="H26" s="282">
        <v>46387</v>
      </c>
      <c r="I26" s="279"/>
    </row>
    <row r="27" spans="1:9" s="285" customFormat="1" x14ac:dyDescent="0.3">
      <c r="A27" s="283"/>
      <c r="B27" s="283"/>
      <c r="C27" s="287"/>
      <c r="D27" s="286"/>
      <c r="E27" s="284"/>
      <c r="F27" s="283"/>
      <c r="G27" s="283"/>
      <c r="H27" s="283"/>
      <c r="I27" s="283"/>
    </row>
    <row r="28" spans="1:9" ht="62.4" x14ac:dyDescent="0.3">
      <c r="A28" s="279">
        <v>6</v>
      </c>
      <c r="B28" s="279" t="s">
        <v>449</v>
      </c>
      <c r="C28" s="71" t="s">
        <v>450</v>
      </c>
      <c r="D28" s="72" t="s">
        <v>451</v>
      </c>
      <c r="E28" s="280" t="s">
        <v>409</v>
      </c>
      <c r="F28" s="281">
        <v>0.6</v>
      </c>
      <c r="G28" s="279" t="s">
        <v>403</v>
      </c>
      <c r="H28" s="282">
        <v>46387</v>
      </c>
      <c r="I28" s="279"/>
    </row>
    <row r="29" spans="1:9" s="285" customFormat="1" x14ac:dyDescent="0.3">
      <c r="A29" s="283"/>
      <c r="B29" s="283"/>
      <c r="C29" s="287"/>
      <c r="D29" s="286"/>
      <c r="E29" s="284"/>
      <c r="F29" s="283"/>
      <c r="G29" s="283"/>
      <c r="H29" s="283"/>
      <c r="I29" s="283"/>
    </row>
    <row r="30" spans="1:9" ht="31.2" x14ac:dyDescent="0.3">
      <c r="A30" s="278">
        <v>7</v>
      </c>
      <c r="B30" s="71" t="s">
        <v>452</v>
      </c>
      <c r="C30" s="71" t="s">
        <v>453</v>
      </c>
      <c r="D30" s="72" t="s">
        <v>454</v>
      </c>
      <c r="E30" s="280" t="s">
        <v>406</v>
      </c>
      <c r="F30" s="281">
        <v>0.8</v>
      </c>
      <c r="G30" s="279" t="s">
        <v>455</v>
      </c>
      <c r="H30" s="282">
        <v>46387</v>
      </c>
      <c r="I30" s="279"/>
    </row>
    <row r="31" spans="1:9" ht="31.2" x14ac:dyDescent="0.3">
      <c r="A31" s="278"/>
      <c r="B31" s="71" t="s">
        <v>452</v>
      </c>
      <c r="C31" s="71" t="s">
        <v>456</v>
      </c>
      <c r="D31" s="71" t="s">
        <v>457</v>
      </c>
      <c r="E31" s="280" t="s">
        <v>409</v>
      </c>
      <c r="F31" s="281">
        <v>0.8</v>
      </c>
      <c r="G31" s="279" t="s">
        <v>455</v>
      </c>
      <c r="H31" s="282">
        <v>46387</v>
      </c>
      <c r="I31" s="279"/>
    </row>
    <row r="32" spans="1:9" ht="62.4" x14ac:dyDescent="0.3">
      <c r="A32" s="278"/>
      <c r="B32" s="71" t="s">
        <v>452</v>
      </c>
      <c r="C32" s="71" t="s">
        <v>458</v>
      </c>
      <c r="D32" s="72" t="s">
        <v>459</v>
      </c>
      <c r="E32" s="280" t="s">
        <v>409</v>
      </c>
      <c r="F32" s="281">
        <v>0.9</v>
      </c>
      <c r="G32" s="279" t="s">
        <v>455</v>
      </c>
      <c r="H32" s="282">
        <v>46387</v>
      </c>
      <c r="I32" s="279"/>
    </row>
    <row r="33" spans="1:9" ht="31.2" x14ac:dyDescent="0.3">
      <c r="A33" s="278"/>
      <c r="B33" s="71" t="s">
        <v>452</v>
      </c>
      <c r="C33" s="71" t="s">
        <v>460</v>
      </c>
      <c r="D33" s="72" t="s">
        <v>461</v>
      </c>
      <c r="E33" s="280" t="s">
        <v>406</v>
      </c>
      <c r="F33" s="281">
        <v>0.8</v>
      </c>
      <c r="G33" s="279" t="s">
        <v>455</v>
      </c>
      <c r="H33" s="282">
        <v>46387</v>
      </c>
      <c r="I33" s="279"/>
    </row>
    <row r="34" spans="1:9" ht="46.8" x14ac:dyDescent="0.3">
      <c r="A34" s="278"/>
      <c r="B34" s="71" t="s">
        <v>452</v>
      </c>
      <c r="C34" s="71" t="s">
        <v>462</v>
      </c>
      <c r="D34" s="72" t="s">
        <v>463</v>
      </c>
      <c r="E34" s="280" t="s">
        <v>409</v>
      </c>
      <c r="F34" s="281">
        <v>0.8</v>
      </c>
      <c r="G34" s="279" t="s">
        <v>455</v>
      </c>
      <c r="H34" s="282">
        <v>46387</v>
      </c>
      <c r="I34" s="279"/>
    </row>
    <row r="35" spans="1:9" x14ac:dyDescent="0.3">
      <c r="A35" s="278"/>
      <c r="B35" s="71" t="s">
        <v>452</v>
      </c>
      <c r="C35" s="71" t="s">
        <v>464</v>
      </c>
      <c r="D35" s="71" t="s">
        <v>465</v>
      </c>
      <c r="E35" s="280" t="s">
        <v>406</v>
      </c>
      <c r="F35" s="281">
        <v>0.8</v>
      </c>
      <c r="G35" s="279" t="s">
        <v>455</v>
      </c>
      <c r="H35" s="282">
        <v>46387</v>
      </c>
      <c r="I35" s="279"/>
    </row>
    <row r="36" spans="1:9" ht="31.2" x14ac:dyDescent="0.3">
      <c r="A36" s="278"/>
      <c r="B36" s="71" t="s">
        <v>452</v>
      </c>
      <c r="C36" s="71" t="s">
        <v>466</v>
      </c>
      <c r="D36" s="72" t="s">
        <v>467</v>
      </c>
      <c r="E36" s="280" t="s">
        <v>409</v>
      </c>
      <c r="F36" s="281">
        <v>0.9</v>
      </c>
      <c r="G36" s="279" t="s">
        <v>455</v>
      </c>
      <c r="H36" s="282">
        <v>46387</v>
      </c>
      <c r="I36" s="279"/>
    </row>
    <row r="37" spans="1:9" ht="46.8" x14ac:dyDescent="0.3">
      <c r="A37" s="278"/>
      <c r="B37" s="71" t="s">
        <v>452</v>
      </c>
      <c r="C37" s="71" t="s">
        <v>468</v>
      </c>
      <c r="D37" s="72" t="s">
        <v>469</v>
      </c>
      <c r="E37" s="280" t="s">
        <v>409</v>
      </c>
      <c r="F37" s="281">
        <v>0.7</v>
      </c>
      <c r="G37" s="279" t="s">
        <v>455</v>
      </c>
      <c r="H37" s="282">
        <v>46387</v>
      </c>
      <c r="I37" s="279"/>
    </row>
    <row r="38" spans="1:9" ht="62.4" x14ac:dyDescent="0.3">
      <c r="A38" s="278"/>
      <c r="B38" s="71" t="s">
        <v>452</v>
      </c>
      <c r="C38" s="71" t="s">
        <v>470</v>
      </c>
      <c r="D38" s="72" t="s">
        <v>471</v>
      </c>
      <c r="E38" s="280" t="s">
        <v>409</v>
      </c>
      <c r="F38" s="281">
        <v>0.7</v>
      </c>
      <c r="G38" s="279" t="s">
        <v>455</v>
      </c>
      <c r="H38" s="282">
        <v>46387</v>
      </c>
      <c r="I38" s="279"/>
    </row>
    <row r="39" spans="1:9" ht="46.8" x14ac:dyDescent="0.3">
      <c r="A39" s="278"/>
      <c r="B39" s="71" t="s">
        <v>452</v>
      </c>
      <c r="C39" s="71" t="s">
        <v>472</v>
      </c>
      <c r="D39" s="72" t="s">
        <v>473</v>
      </c>
      <c r="E39" s="280" t="s">
        <v>409</v>
      </c>
      <c r="F39" s="281">
        <v>0.9</v>
      </c>
      <c r="G39" s="279" t="s">
        <v>455</v>
      </c>
      <c r="H39" s="282">
        <v>46387</v>
      </c>
      <c r="I39" s="279"/>
    </row>
    <row r="40" spans="1:9" ht="31.2" x14ac:dyDescent="0.3">
      <c r="A40" s="278"/>
      <c r="B40" s="71" t="s">
        <v>452</v>
      </c>
      <c r="C40" s="71" t="s">
        <v>474</v>
      </c>
      <c r="D40" s="72" t="s">
        <v>475</v>
      </c>
      <c r="E40" s="280" t="s">
        <v>409</v>
      </c>
      <c r="F40" s="281">
        <v>0.7</v>
      </c>
      <c r="G40" s="279" t="s">
        <v>455</v>
      </c>
      <c r="H40" s="282">
        <v>46387</v>
      </c>
      <c r="I40" s="279"/>
    </row>
    <row r="41" spans="1:9" ht="46.8" x14ac:dyDescent="0.3">
      <c r="A41" s="278"/>
      <c r="B41" s="71" t="s">
        <v>452</v>
      </c>
      <c r="C41" s="71" t="s">
        <v>476</v>
      </c>
      <c r="D41" s="72" t="s">
        <v>477</v>
      </c>
      <c r="E41" s="280" t="s">
        <v>402</v>
      </c>
      <c r="F41" s="281">
        <v>0.9</v>
      </c>
      <c r="G41" s="279" t="s">
        <v>455</v>
      </c>
      <c r="H41" s="282">
        <v>46387</v>
      </c>
      <c r="I41" s="279"/>
    </row>
    <row r="42" spans="1:9" ht="46.8" x14ac:dyDescent="0.3">
      <c r="A42" s="278"/>
      <c r="B42" s="71" t="s">
        <v>452</v>
      </c>
      <c r="C42" s="71" t="s">
        <v>478</v>
      </c>
      <c r="D42" s="72" t="s">
        <v>479</v>
      </c>
      <c r="E42" s="280" t="s">
        <v>409</v>
      </c>
      <c r="F42" s="281">
        <v>0.6</v>
      </c>
      <c r="G42" s="279" t="s">
        <v>455</v>
      </c>
      <c r="H42" s="282">
        <v>46387</v>
      </c>
      <c r="I42" s="279"/>
    </row>
    <row r="43" spans="1:9" s="285" customFormat="1" x14ac:dyDescent="0.3">
      <c r="A43" s="283"/>
      <c r="B43" s="283"/>
      <c r="C43" s="287"/>
      <c r="D43" s="286"/>
      <c r="E43" s="284"/>
      <c r="F43" s="283"/>
      <c r="G43" s="283"/>
      <c r="H43" s="283"/>
      <c r="I43" s="283"/>
    </row>
    <row r="44" spans="1:9" ht="46.8" x14ac:dyDescent="0.3">
      <c r="A44" s="278">
        <v>8</v>
      </c>
      <c r="B44" s="72" t="s">
        <v>480</v>
      </c>
      <c r="C44" s="71" t="s">
        <v>481</v>
      </c>
      <c r="D44" s="72" t="s">
        <v>482</v>
      </c>
      <c r="E44" s="280" t="s">
        <v>406</v>
      </c>
      <c r="F44" s="281">
        <v>0.7</v>
      </c>
      <c r="G44" s="279" t="s">
        <v>392</v>
      </c>
      <c r="H44" s="282">
        <v>46387</v>
      </c>
      <c r="I44" s="279"/>
    </row>
    <row r="45" spans="1:9" ht="46.8" x14ac:dyDescent="0.3">
      <c r="A45" s="278"/>
      <c r="B45" s="72" t="s">
        <v>480</v>
      </c>
      <c r="C45" s="71" t="s">
        <v>483</v>
      </c>
      <c r="D45" s="72" t="s">
        <v>484</v>
      </c>
      <c r="E45" s="280" t="s">
        <v>406</v>
      </c>
      <c r="F45" s="281">
        <v>0.7</v>
      </c>
      <c r="G45" s="279" t="s">
        <v>392</v>
      </c>
      <c r="H45" s="282">
        <v>46387</v>
      </c>
      <c r="I45" s="279"/>
    </row>
    <row r="46" spans="1:9" ht="62.4" x14ac:dyDescent="0.3">
      <c r="A46" s="278"/>
      <c r="B46" s="72" t="s">
        <v>480</v>
      </c>
      <c r="C46" s="71" t="s">
        <v>485</v>
      </c>
      <c r="D46" s="72" t="s">
        <v>486</v>
      </c>
      <c r="E46" s="280" t="s">
        <v>406</v>
      </c>
      <c r="F46" s="281">
        <v>0.7</v>
      </c>
      <c r="G46" s="279" t="s">
        <v>392</v>
      </c>
      <c r="H46" s="282">
        <v>46387</v>
      </c>
      <c r="I46" s="279"/>
    </row>
    <row r="47" spans="1:9" ht="46.8" x14ac:dyDescent="0.3">
      <c r="A47" s="278"/>
      <c r="B47" s="72" t="s">
        <v>480</v>
      </c>
      <c r="C47" s="71" t="s">
        <v>487</v>
      </c>
      <c r="D47" s="72" t="s">
        <v>488</v>
      </c>
      <c r="E47" s="280" t="s">
        <v>406</v>
      </c>
      <c r="F47" s="281">
        <v>0.7</v>
      </c>
      <c r="G47" s="279" t="s">
        <v>392</v>
      </c>
      <c r="H47" s="282">
        <v>46387</v>
      </c>
      <c r="I47" s="279"/>
    </row>
    <row r="48" spans="1:9" ht="78" x14ac:dyDescent="0.3">
      <c r="A48" s="278"/>
      <c r="B48" s="72" t="s">
        <v>480</v>
      </c>
      <c r="C48" s="71" t="s">
        <v>489</v>
      </c>
      <c r="D48" s="72" t="s">
        <v>490</v>
      </c>
      <c r="E48" s="280" t="s">
        <v>409</v>
      </c>
      <c r="F48" s="281">
        <v>0.7</v>
      </c>
      <c r="G48" s="279" t="s">
        <v>392</v>
      </c>
      <c r="H48" s="282">
        <v>46387</v>
      </c>
      <c r="I48" s="279"/>
    </row>
    <row r="49" spans="1:9" ht="62.4" x14ac:dyDescent="0.3">
      <c r="A49" s="278"/>
      <c r="B49" s="72" t="s">
        <v>480</v>
      </c>
      <c r="C49" s="71" t="s">
        <v>491</v>
      </c>
      <c r="D49" s="72" t="s">
        <v>492</v>
      </c>
      <c r="E49" s="280" t="s">
        <v>406</v>
      </c>
      <c r="F49" s="281">
        <v>0.7</v>
      </c>
      <c r="G49" s="279" t="s">
        <v>392</v>
      </c>
      <c r="H49" s="282">
        <v>46387</v>
      </c>
      <c r="I49" s="279"/>
    </row>
    <row r="50" spans="1:9" s="285" customFormat="1" x14ac:dyDescent="0.3">
      <c r="A50" s="283"/>
      <c r="B50" s="283"/>
      <c r="C50" s="283"/>
      <c r="D50" s="283"/>
      <c r="E50" s="284"/>
      <c r="F50" s="283"/>
      <c r="G50" s="283"/>
      <c r="H50" s="283"/>
      <c r="I50" s="283"/>
    </row>
    <row r="51" spans="1:9" ht="46.8" x14ac:dyDescent="0.3">
      <c r="A51" s="279">
        <v>9</v>
      </c>
      <c r="B51" s="71" t="s">
        <v>493</v>
      </c>
      <c r="C51" s="279" t="s">
        <v>494</v>
      </c>
      <c r="D51" s="72" t="s">
        <v>495</v>
      </c>
      <c r="E51" s="280" t="s">
        <v>406</v>
      </c>
      <c r="F51" s="281">
        <v>0.5</v>
      </c>
      <c r="G51" s="279" t="s">
        <v>496</v>
      </c>
      <c r="H51" s="282">
        <v>46387</v>
      </c>
      <c r="I51" s="279"/>
    </row>
    <row r="52" spans="1:9" ht="31.2" x14ac:dyDescent="0.3">
      <c r="A52" s="279"/>
      <c r="B52" s="71" t="s">
        <v>493</v>
      </c>
      <c r="C52" s="279" t="s">
        <v>497</v>
      </c>
      <c r="D52" s="72" t="s">
        <v>498</v>
      </c>
      <c r="E52" s="280" t="s">
        <v>406</v>
      </c>
      <c r="F52" s="281">
        <v>0.5</v>
      </c>
      <c r="G52" s="279" t="s">
        <v>496</v>
      </c>
      <c r="H52" s="282">
        <v>46387</v>
      </c>
      <c r="I52" s="279"/>
    </row>
    <row r="53" spans="1:9" ht="31.2" x14ac:dyDescent="0.3">
      <c r="A53" s="279"/>
      <c r="B53" s="71" t="s">
        <v>493</v>
      </c>
      <c r="C53" s="71" t="s">
        <v>499</v>
      </c>
      <c r="D53" s="71" t="s">
        <v>500</v>
      </c>
      <c r="E53" s="280" t="s">
        <v>409</v>
      </c>
      <c r="F53" s="281">
        <v>0.6</v>
      </c>
      <c r="G53" s="279" t="s">
        <v>496</v>
      </c>
      <c r="H53" s="282">
        <v>46387</v>
      </c>
      <c r="I53" s="279"/>
    </row>
    <row r="54" spans="1:9" ht="31.2" x14ac:dyDescent="0.3">
      <c r="A54" s="279"/>
      <c r="B54" s="71" t="s">
        <v>493</v>
      </c>
      <c r="C54" s="71" t="s">
        <v>501</v>
      </c>
      <c r="D54" s="72" t="s">
        <v>502</v>
      </c>
      <c r="E54" s="280" t="s">
        <v>406</v>
      </c>
      <c r="F54" s="281">
        <v>0.4</v>
      </c>
      <c r="G54" s="279" t="s">
        <v>496</v>
      </c>
      <c r="H54" s="282">
        <v>46387</v>
      </c>
      <c r="I54" s="279"/>
    </row>
    <row r="55" spans="1:9" ht="31.2" x14ac:dyDescent="0.3">
      <c r="A55" s="279"/>
      <c r="B55" s="71" t="s">
        <v>493</v>
      </c>
      <c r="C55" s="71" t="s">
        <v>410</v>
      </c>
      <c r="D55" s="72" t="s">
        <v>503</v>
      </c>
      <c r="E55" s="280" t="s">
        <v>409</v>
      </c>
      <c r="F55" s="281">
        <v>0.6</v>
      </c>
      <c r="G55" s="279" t="s">
        <v>496</v>
      </c>
      <c r="H55" s="282">
        <v>46387</v>
      </c>
      <c r="I55" s="279"/>
    </row>
    <row r="56" spans="1:9" ht="31.2" x14ac:dyDescent="0.3">
      <c r="A56" s="279"/>
      <c r="B56" s="71" t="s">
        <v>493</v>
      </c>
      <c r="C56" s="71" t="s">
        <v>478</v>
      </c>
      <c r="D56" s="72" t="s">
        <v>504</v>
      </c>
      <c r="E56" s="280" t="s">
        <v>409</v>
      </c>
      <c r="F56" s="281">
        <v>0.4</v>
      </c>
      <c r="G56" s="279" t="s">
        <v>496</v>
      </c>
      <c r="H56" s="282">
        <v>46387</v>
      </c>
      <c r="I56" s="279"/>
    </row>
    <row r="57" spans="1:9" s="285" customFormat="1" x14ac:dyDescent="0.3">
      <c r="A57" s="283"/>
      <c r="B57" s="283"/>
      <c r="C57" s="283"/>
      <c r="D57" s="283"/>
      <c r="E57" s="284"/>
      <c r="F57" s="283"/>
      <c r="G57" s="283"/>
      <c r="H57" s="283"/>
      <c r="I57" s="283"/>
    </row>
    <row r="58" spans="1:9" ht="78" x14ac:dyDescent="0.3">
      <c r="A58" s="279">
        <v>10</v>
      </c>
      <c r="B58" s="71" t="s">
        <v>505</v>
      </c>
      <c r="C58" s="71" t="s">
        <v>506</v>
      </c>
      <c r="D58" s="72" t="s">
        <v>507</v>
      </c>
      <c r="E58" s="280" t="s">
        <v>406</v>
      </c>
      <c r="F58" s="281">
        <v>0.7</v>
      </c>
      <c r="G58" s="279" t="s">
        <v>392</v>
      </c>
      <c r="H58" s="282">
        <v>46387</v>
      </c>
      <c r="I58" s="279"/>
    </row>
    <row r="59" spans="1:9" ht="93.6" x14ac:dyDescent="0.3">
      <c r="A59" s="279"/>
      <c r="B59" s="71" t="s">
        <v>505</v>
      </c>
      <c r="C59" s="71" t="s">
        <v>508</v>
      </c>
      <c r="D59" s="72" t="s">
        <v>509</v>
      </c>
      <c r="E59" s="280" t="s">
        <v>406</v>
      </c>
      <c r="F59" s="281">
        <v>0.7</v>
      </c>
      <c r="G59" s="279" t="s">
        <v>392</v>
      </c>
      <c r="H59" s="282">
        <v>46387</v>
      </c>
      <c r="I59" s="279"/>
    </row>
    <row r="60" spans="1:9" ht="78" x14ac:dyDescent="0.3">
      <c r="A60" s="279"/>
      <c r="B60" s="71" t="s">
        <v>505</v>
      </c>
      <c r="C60" s="71" t="s">
        <v>510</v>
      </c>
      <c r="D60" s="72" t="s">
        <v>511</v>
      </c>
      <c r="E60" s="280" t="s">
        <v>409</v>
      </c>
      <c r="F60" s="281">
        <v>0.7</v>
      </c>
      <c r="G60" s="279" t="s">
        <v>392</v>
      </c>
      <c r="H60" s="282">
        <v>46387</v>
      </c>
      <c r="I60" s="279"/>
    </row>
    <row r="61" spans="1:9" ht="93.6" x14ac:dyDescent="0.3">
      <c r="A61" s="279"/>
      <c r="B61" s="71" t="s">
        <v>505</v>
      </c>
      <c r="C61" s="71" t="s">
        <v>512</v>
      </c>
      <c r="D61" s="72" t="s">
        <v>513</v>
      </c>
      <c r="E61" s="280" t="s">
        <v>409</v>
      </c>
      <c r="F61" s="281">
        <v>0.7</v>
      </c>
      <c r="G61" s="279" t="s">
        <v>392</v>
      </c>
      <c r="H61" s="282">
        <v>46387</v>
      </c>
      <c r="I61" s="279"/>
    </row>
    <row r="62" spans="1:9" ht="62.4" x14ac:dyDescent="0.3">
      <c r="A62" s="279"/>
      <c r="B62" s="71" t="s">
        <v>505</v>
      </c>
      <c r="C62" s="71" t="s">
        <v>410</v>
      </c>
      <c r="D62" s="72" t="s">
        <v>514</v>
      </c>
      <c r="E62" s="280" t="s">
        <v>409</v>
      </c>
      <c r="F62" s="281">
        <v>0.7</v>
      </c>
      <c r="G62" s="279" t="s">
        <v>392</v>
      </c>
      <c r="H62" s="282">
        <v>46387</v>
      </c>
      <c r="I62" s="279"/>
    </row>
    <row r="63" spans="1:9" s="285" customFormat="1" x14ac:dyDescent="0.3">
      <c r="A63" s="283"/>
      <c r="B63" s="283"/>
      <c r="C63" s="283"/>
      <c r="D63" s="283"/>
      <c r="E63" s="284"/>
      <c r="F63" s="283"/>
      <c r="G63" s="283"/>
      <c r="H63" s="283"/>
      <c r="I63" s="283"/>
    </row>
    <row r="64" spans="1:9" ht="62.4" x14ac:dyDescent="0.3">
      <c r="A64" s="279">
        <v>11</v>
      </c>
      <c r="B64" s="71" t="s">
        <v>515</v>
      </c>
      <c r="C64" s="71" t="s">
        <v>516</v>
      </c>
      <c r="D64" s="72" t="s">
        <v>517</v>
      </c>
      <c r="E64" s="280" t="s">
        <v>409</v>
      </c>
      <c r="F64" s="281">
        <v>0.5</v>
      </c>
      <c r="G64" s="279" t="s">
        <v>518</v>
      </c>
      <c r="H64" s="282">
        <v>46387</v>
      </c>
      <c r="I64" s="279"/>
    </row>
    <row r="65" spans="1:9" ht="62.4" x14ac:dyDescent="0.3">
      <c r="A65" s="279"/>
      <c r="B65" s="71" t="s">
        <v>515</v>
      </c>
      <c r="C65" s="71" t="s">
        <v>519</v>
      </c>
      <c r="D65" s="72" t="s">
        <v>520</v>
      </c>
      <c r="E65" s="280" t="s">
        <v>417</v>
      </c>
      <c r="F65" s="281">
        <v>0.5</v>
      </c>
      <c r="G65" s="279" t="s">
        <v>518</v>
      </c>
      <c r="H65" s="282">
        <v>46387</v>
      </c>
      <c r="I65" s="279"/>
    </row>
    <row r="66" spans="1:9" ht="78" x14ac:dyDescent="0.3">
      <c r="A66" s="279"/>
      <c r="B66" s="71" t="s">
        <v>515</v>
      </c>
      <c r="C66" s="71" t="s">
        <v>521</v>
      </c>
      <c r="D66" s="72" t="s">
        <v>522</v>
      </c>
      <c r="E66" s="280" t="s">
        <v>409</v>
      </c>
      <c r="F66" s="281">
        <v>0.5</v>
      </c>
      <c r="G66" s="279" t="s">
        <v>518</v>
      </c>
      <c r="H66" s="282">
        <v>46387</v>
      </c>
      <c r="I66" s="279"/>
    </row>
  </sheetData>
  <mergeCells count="7">
    <mergeCell ref="A44:A49"/>
    <mergeCell ref="A21:A22"/>
    <mergeCell ref="A24:A26"/>
    <mergeCell ref="A30:A42"/>
    <mergeCell ref="A2:A5"/>
    <mergeCell ref="A7:A13"/>
    <mergeCell ref="A15:A1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241D7-EB2C-413D-946C-529D8DE0DDA0}">
  <dimension ref="A1:Q190"/>
  <sheetViews>
    <sheetView topLeftCell="A17" workbookViewId="0">
      <selection activeCell="F19" sqref="F19"/>
    </sheetView>
  </sheetViews>
  <sheetFormatPr defaultRowHeight="15.6" x14ac:dyDescent="0.3"/>
  <cols>
    <col min="1" max="1" width="4.69921875" customWidth="1"/>
    <col min="2" max="2" width="16.19921875" customWidth="1"/>
    <col min="3" max="3" width="12.796875" customWidth="1"/>
    <col min="4" max="4" width="15.8984375" bestFit="1" customWidth="1"/>
    <col min="6" max="6" width="21.296875" customWidth="1"/>
    <col min="7" max="7" width="31.69921875" customWidth="1"/>
    <col min="8" max="8" width="12.19921875" customWidth="1"/>
    <col min="10" max="10" width="17.3984375" customWidth="1"/>
    <col min="11" max="11" width="18.796875" customWidth="1"/>
    <col min="12" max="12" width="18.09765625" customWidth="1"/>
    <col min="13" max="13" width="11.5" customWidth="1"/>
    <col min="14" max="14" width="13" customWidth="1"/>
    <col min="15" max="15" width="13.59765625" customWidth="1"/>
  </cols>
  <sheetData>
    <row r="1" spans="1:17" x14ac:dyDescent="0.3">
      <c r="A1" s="45" t="s">
        <v>48</v>
      </c>
      <c r="B1" s="46" t="s">
        <v>49</v>
      </c>
      <c r="C1" s="46">
        <f>T7</f>
        <v>0</v>
      </c>
      <c r="D1" s="47" t="s">
        <v>50</v>
      </c>
      <c r="E1" s="48">
        <f>SUM(T3:T4)</f>
        <v>0</v>
      </c>
      <c r="F1" s="49" t="s">
        <v>51</v>
      </c>
      <c r="G1" s="50">
        <f>SUM(T5:T6)</f>
        <v>0</v>
      </c>
      <c r="H1" s="51"/>
      <c r="I1" s="51"/>
      <c r="J1" s="51"/>
      <c r="K1" s="51"/>
      <c r="L1" s="51"/>
      <c r="M1" s="51"/>
      <c r="N1" s="51"/>
      <c r="O1" s="51"/>
      <c r="P1" s="57"/>
      <c r="Q1" s="57"/>
    </row>
    <row r="2" spans="1:17" x14ac:dyDescent="0.3">
      <c r="A2" s="52" t="s">
        <v>52</v>
      </c>
      <c r="B2" s="52" t="s">
        <v>53</v>
      </c>
      <c r="C2" s="52" t="s">
        <v>54</v>
      </c>
      <c r="D2" s="52" t="s">
        <v>55</v>
      </c>
      <c r="E2" s="52" t="s">
        <v>56</v>
      </c>
      <c r="F2" s="52" t="s">
        <v>57</v>
      </c>
      <c r="G2" s="52" t="s">
        <v>58</v>
      </c>
      <c r="H2" s="52" t="s">
        <v>59</v>
      </c>
      <c r="I2" s="52" t="s">
        <v>60</v>
      </c>
      <c r="J2" s="52" t="s">
        <v>61</v>
      </c>
      <c r="K2" s="52" t="s">
        <v>62</v>
      </c>
      <c r="L2" s="52" t="s">
        <v>63</v>
      </c>
      <c r="M2" s="52" t="s">
        <v>64</v>
      </c>
      <c r="N2" s="52" t="s">
        <v>65</v>
      </c>
      <c r="O2" s="52" t="s">
        <v>66</v>
      </c>
      <c r="P2" s="52" t="s">
        <v>67</v>
      </c>
      <c r="Q2" s="52" t="s">
        <v>68</v>
      </c>
    </row>
    <row r="3" spans="1:17" ht="69" x14ac:dyDescent="0.3">
      <c r="A3" s="69">
        <v>1</v>
      </c>
      <c r="B3" s="69" t="s">
        <v>106</v>
      </c>
      <c r="C3" s="69" t="s">
        <v>69</v>
      </c>
      <c r="D3" s="69" t="s">
        <v>75</v>
      </c>
      <c r="E3" s="69" t="s">
        <v>102</v>
      </c>
      <c r="F3" s="69" t="s">
        <v>107</v>
      </c>
      <c r="G3" s="69" t="s">
        <v>108</v>
      </c>
      <c r="H3" s="69" t="s">
        <v>70</v>
      </c>
      <c r="I3" s="53" t="s">
        <v>71</v>
      </c>
      <c r="J3" s="70">
        <v>46181.512499999997</v>
      </c>
      <c r="K3" s="70">
        <v>46211.473611111112</v>
      </c>
      <c r="L3" s="70">
        <v>46211.473611111112</v>
      </c>
      <c r="M3" s="69" t="s">
        <v>72</v>
      </c>
      <c r="N3" s="55" t="str">
        <f>IF(ISBLANK(J3),"",IF(OR(M3="Completed",M3="Closed"),"",IF(H3="Issue",IF(I3="High",WORKDAY(J3,2,#REF!),IF(I3="Medium",WORKDAY(J3,14,#REF!),IF(OR(I3="Low"),WORKDAY(J3,30,#REF!),""))),
"")
))</f>
        <v/>
      </c>
      <c r="O3" s="56" t="str">
        <f ca="1">IF(OR(ISBLANK(#REF!), M3="Completed", M3="Closed", H3&lt;&gt;"Issue"), "",
   ( NETWORKDAYS.INTL(TODAY(), N3, 1,#REF!) - 1))</f>
        <v/>
      </c>
      <c r="P3" s="65" t="str">
        <f ca="1">IF(O3="","",LEFT(O3,10)*(-1))</f>
        <v/>
      </c>
      <c r="Q3" s="57" t="str">
        <f t="shared" ref="Q3:Q12" ca="1" si="0">IF(P3="","",
IF(P3&lt;=0,"Not Due",
IF(P3&lt;=30,"1-30 Days",
IF(P3&lt;=60,"31-60 Days",
"&gt;60 Days"))))</f>
        <v/>
      </c>
    </row>
    <row r="4" spans="1:17" ht="69" x14ac:dyDescent="0.3">
      <c r="A4" s="69">
        <v>2</v>
      </c>
      <c r="B4" s="69" t="s">
        <v>109</v>
      </c>
      <c r="C4" s="69" t="s">
        <v>69</v>
      </c>
      <c r="D4" s="69" t="s">
        <v>75</v>
      </c>
      <c r="E4" s="69" t="s">
        <v>102</v>
      </c>
      <c r="F4" s="69" t="s">
        <v>107</v>
      </c>
      <c r="G4" s="69" t="s">
        <v>110</v>
      </c>
      <c r="H4" s="69" t="s">
        <v>70</v>
      </c>
      <c r="I4" s="53" t="s">
        <v>71</v>
      </c>
      <c r="J4" s="70">
        <v>46181.513194444444</v>
      </c>
      <c r="K4" s="70">
        <v>46181.576388888891</v>
      </c>
      <c r="L4" s="70">
        <v>46181.57708333333</v>
      </c>
      <c r="M4" s="69" t="s">
        <v>72</v>
      </c>
      <c r="N4" s="55" t="str">
        <f>IF(ISBLANK(J4),"",IF(OR(M4="Completed",M4="Closed"),"",IF(H4="Issue",IF(I4="High",WORKDAY(J4,2,#REF!),IF(I4="Medium",WORKDAY(J4,14,#REF!),IF(OR(I4="Low"),WORKDAY(J4,30,#REF!),""))),
"")
))</f>
        <v/>
      </c>
      <c r="O4" s="56" t="str">
        <f ca="1">IF(OR(ISBLANK(#REF!), M4="Completed", M4="Closed", H4&lt;&gt;"Issue"), "",
   ( NETWORKDAYS.INTL(TODAY(), N4, 1,#REF!) - 1))</f>
        <v/>
      </c>
      <c r="P4" s="65" t="str">
        <f t="shared" ref="P4:P67" ca="1" si="1">IF(O4="","",LEFT(O4,10)*(-1))</f>
        <v/>
      </c>
      <c r="Q4" s="57" t="str">
        <f t="shared" ca="1" si="0"/>
        <v/>
      </c>
    </row>
    <row r="5" spans="1:17" ht="27.6" x14ac:dyDescent="0.3">
      <c r="A5" s="69">
        <v>3</v>
      </c>
      <c r="B5" s="69" t="s">
        <v>111</v>
      </c>
      <c r="C5" s="69" t="s">
        <v>69</v>
      </c>
      <c r="D5" s="69" t="s">
        <v>75</v>
      </c>
      <c r="E5" s="69" t="s">
        <v>102</v>
      </c>
      <c r="F5" s="69" t="s">
        <v>99</v>
      </c>
      <c r="G5" s="69" t="s">
        <v>112</v>
      </c>
      <c r="H5" s="69" t="s">
        <v>70</v>
      </c>
      <c r="I5" s="53" t="s">
        <v>71</v>
      </c>
      <c r="J5" s="70">
        <v>46181.513888888891</v>
      </c>
      <c r="K5" s="70">
        <v>46211.475694444445</v>
      </c>
      <c r="L5" s="70">
        <v>46211.475694444445</v>
      </c>
      <c r="M5" s="69" t="s">
        <v>72</v>
      </c>
      <c r="N5" s="55" t="str">
        <f>IF(ISBLANK(J5),"",IF(OR(M5="Completed",M5="Closed"),"",IF(H5="Issue",IF(I5="High",WORKDAY(J5,2,#REF!),IF(I5="Medium",WORKDAY(J5,14,#REF!),IF(OR(I5="Low"),WORKDAY(J5,30,#REF!),""))),
"")
))</f>
        <v/>
      </c>
      <c r="O5" s="56" t="str">
        <f ca="1">IF(OR(ISBLANK(#REF!), M5="Completed", M5="Closed", H5&lt;&gt;"Issue"), "",
   ( NETWORKDAYS.INTL(TODAY(), N5, 1,#REF!) - 1))</f>
        <v/>
      </c>
      <c r="P5" s="65" t="str">
        <f t="shared" ca="1" si="1"/>
        <v/>
      </c>
      <c r="Q5" s="57" t="str">
        <f t="shared" ca="1" si="0"/>
        <v/>
      </c>
    </row>
    <row r="6" spans="1:17" ht="55.2" x14ac:dyDescent="0.3">
      <c r="A6" s="69">
        <v>4</v>
      </c>
      <c r="B6" s="69" t="s">
        <v>113</v>
      </c>
      <c r="C6" s="69" t="s">
        <v>69</v>
      </c>
      <c r="D6" s="69" t="s">
        <v>94</v>
      </c>
      <c r="E6" s="69" t="s">
        <v>102</v>
      </c>
      <c r="F6" s="69" t="s">
        <v>114</v>
      </c>
      <c r="G6" s="69" t="s">
        <v>115</v>
      </c>
      <c r="H6" s="69" t="s">
        <v>70</v>
      </c>
      <c r="I6" s="53" t="s">
        <v>71</v>
      </c>
      <c r="J6" s="70">
        <v>46181.51458333333</v>
      </c>
      <c r="K6" s="70">
        <v>46181.574999999997</v>
      </c>
      <c r="L6" s="70">
        <v>46181.575694444444</v>
      </c>
      <c r="M6" s="69" t="s">
        <v>72</v>
      </c>
      <c r="N6" s="55" t="str">
        <f>IF(ISBLANK(J6),"",IF(OR(M6="Completed",M6="Closed"),"",IF(H6="Issue",IF(I6="High",WORKDAY(J6,2,#REF!),IF(I6="Medium",WORKDAY(J6,14,#REF!),IF(OR(I6="Low"),WORKDAY(J6,30,#REF!),""))),
"")
))</f>
        <v/>
      </c>
      <c r="O6" s="56" t="str">
        <f ca="1">IF(OR(ISBLANK(#REF!), M6="Completed", M6="Closed", H6&lt;&gt;"Issue"), "",
   ( NETWORKDAYS.INTL(TODAY(), N6, 1,#REF!) - 1))</f>
        <v/>
      </c>
      <c r="P6" s="65" t="str">
        <f t="shared" ca="1" si="1"/>
        <v/>
      </c>
      <c r="Q6" s="57" t="str">
        <f t="shared" ca="1" si="0"/>
        <v/>
      </c>
    </row>
    <row r="7" spans="1:17" ht="55.2" x14ac:dyDescent="0.3">
      <c r="A7" s="69">
        <v>5</v>
      </c>
      <c r="B7" s="69" t="s">
        <v>116</v>
      </c>
      <c r="C7" s="69" t="s">
        <v>69</v>
      </c>
      <c r="D7" s="69" t="s">
        <v>94</v>
      </c>
      <c r="E7" s="69" t="s">
        <v>102</v>
      </c>
      <c r="F7" s="69" t="s">
        <v>117</v>
      </c>
      <c r="G7" s="69" t="s">
        <v>118</v>
      </c>
      <c r="H7" s="69" t="s">
        <v>70</v>
      </c>
      <c r="I7" s="53" t="s">
        <v>71</v>
      </c>
      <c r="J7" s="70">
        <v>46181.515277777777</v>
      </c>
      <c r="K7" s="70">
        <v>46181.574305555558</v>
      </c>
      <c r="L7" s="70">
        <v>46181.574999999997</v>
      </c>
      <c r="M7" s="69" t="s">
        <v>72</v>
      </c>
      <c r="N7" s="55" t="str">
        <f>IF(ISBLANK(J7),"",IF(OR(M7="Completed",M7="Closed"),"",IF(H7="Issue",IF(I7="High",WORKDAY(J7,2,#REF!),IF(I7="Medium",WORKDAY(J7,14,#REF!),IF(OR(I7="Low"),WORKDAY(J7,30,#REF!),""))),
"")
))</f>
        <v/>
      </c>
      <c r="O7" s="56" t="str">
        <f ca="1">IF(OR(ISBLANK(#REF!), M7="Completed", M7="Closed", H7&lt;&gt;"Issue"), "",
   ( NETWORKDAYS.INTL(TODAY(), N7, 1,#REF!) - 1))</f>
        <v/>
      </c>
      <c r="P7" s="65" t="str">
        <f t="shared" ca="1" si="1"/>
        <v/>
      </c>
      <c r="Q7" s="57" t="str">
        <f t="shared" ca="1" si="0"/>
        <v/>
      </c>
    </row>
    <row r="8" spans="1:17" ht="41.4" x14ac:dyDescent="0.3">
      <c r="A8" s="69">
        <v>6</v>
      </c>
      <c r="B8" s="69" t="s">
        <v>119</v>
      </c>
      <c r="C8" s="69" t="s">
        <v>69</v>
      </c>
      <c r="D8" s="69" t="s">
        <v>78</v>
      </c>
      <c r="E8" s="69" t="s">
        <v>102</v>
      </c>
      <c r="F8" s="69" t="s">
        <v>120</v>
      </c>
      <c r="G8" s="69" t="s">
        <v>121</v>
      </c>
      <c r="H8" s="69" t="s">
        <v>70</v>
      </c>
      <c r="I8" s="53" t="s">
        <v>71</v>
      </c>
      <c r="J8" s="70">
        <v>46181.515972222223</v>
      </c>
      <c r="K8" s="66"/>
      <c r="L8" s="66"/>
      <c r="M8" s="69" t="s">
        <v>73</v>
      </c>
      <c r="N8" s="55" t="e">
        <f>IF(ISBLANK(J8),"",IF(OR(M8="Completed",M8="Closed"),"",IF(H8="Issue",IF(I8="High",WORKDAY(J8,2,#REF!),IF(I8="Medium",WORKDAY(J8,14,#REF!),IF(OR(I8="Low"),WORKDAY(J8,30,#REF!),""))),
"")
))</f>
        <v>#REF!</v>
      </c>
      <c r="O8" s="56" t="e">
        <f ca="1">IF(OR(ISBLANK(#REF!), M8="Completed", M8="Closed", H8&lt;&gt;"Issue"), "",
   ( NETWORKDAYS.INTL(TODAY(), N8, 1,#REF!) - 1))</f>
        <v>#REF!</v>
      </c>
      <c r="P8" s="65" t="e">
        <f t="shared" ca="1" si="1"/>
        <v>#REF!</v>
      </c>
      <c r="Q8" s="57" t="e">
        <f t="shared" ca="1" si="0"/>
        <v>#REF!</v>
      </c>
    </row>
    <row r="9" spans="1:17" ht="41.4" x14ac:dyDescent="0.3">
      <c r="A9" s="69">
        <v>7</v>
      </c>
      <c r="B9" s="69" t="s">
        <v>122</v>
      </c>
      <c r="C9" s="69" t="s">
        <v>69</v>
      </c>
      <c r="D9" s="69" t="s">
        <v>78</v>
      </c>
      <c r="E9" s="69" t="s">
        <v>102</v>
      </c>
      <c r="F9" s="69" t="s">
        <v>120</v>
      </c>
      <c r="G9" s="69" t="s">
        <v>123</v>
      </c>
      <c r="H9" s="69" t="s">
        <v>70</v>
      </c>
      <c r="I9" s="53" t="s">
        <v>71</v>
      </c>
      <c r="J9" s="70">
        <v>46181.519444444442</v>
      </c>
      <c r="K9" s="66"/>
      <c r="L9" s="66"/>
      <c r="M9" s="69" t="s">
        <v>73</v>
      </c>
      <c r="N9" s="55" t="e">
        <f>IF(ISBLANK(J9),"",IF(OR(M9="Completed",M9="Closed"),"",IF(H9="Issue",IF(I9="High",WORKDAY(J9,2,#REF!),IF(I9="Medium",WORKDAY(J9,14,#REF!),IF(OR(I9="Low"),WORKDAY(J9,30,#REF!),""))),
"")
))</f>
        <v>#REF!</v>
      </c>
      <c r="O9" s="56" t="e">
        <f ca="1">IF(OR(ISBLANK(#REF!), M9="Completed", M9="Closed", H9&lt;&gt;"Issue"), "",
   ( NETWORKDAYS.INTL(TODAY(), N9, 1,#REF!) - 1))</f>
        <v>#REF!</v>
      </c>
      <c r="P9" s="65" t="e">
        <f t="shared" ca="1" si="1"/>
        <v>#REF!</v>
      </c>
      <c r="Q9" s="57" t="e">
        <f t="shared" ca="1" si="0"/>
        <v>#REF!</v>
      </c>
    </row>
    <row r="10" spans="1:17" ht="27.6" x14ac:dyDescent="0.3">
      <c r="A10" s="69">
        <v>8</v>
      </c>
      <c r="B10" s="69" t="s">
        <v>124</v>
      </c>
      <c r="C10" s="69" t="s">
        <v>69</v>
      </c>
      <c r="D10" s="69" t="s">
        <v>77</v>
      </c>
      <c r="E10" s="69" t="s">
        <v>102</v>
      </c>
      <c r="F10" s="69" t="s">
        <v>125</v>
      </c>
      <c r="G10" s="69" t="s">
        <v>126</v>
      </c>
      <c r="H10" s="69" t="s">
        <v>70</v>
      </c>
      <c r="I10" s="53" t="s">
        <v>71</v>
      </c>
      <c r="J10" s="70">
        <v>46181.525694444441</v>
      </c>
      <c r="K10" s="70">
        <v>46181.571527777778</v>
      </c>
      <c r="L10" s="70">
        <v>46181.571527777778</v>
      </c>
      <c r="M10" s="69" t="s">
        <v>72</v>
      </c>
      <c r="N10" s="55" t="str">
        <f>IF(ISBLANK(J10),"",IF(OR(M10="Completed",M10="Closed"),"",IF(H10="Issue",IF(I10="High",WORKDAY(J10,2,#REF!),IF(I10="Medium",WORKDAY(J10,14,#REF!),IF(OR(I10="Low"),WORKDAY(J10,30,#REF!),""))),
"")
))</f>
        <v/>
      </c>
      <c r="O10" s="56" t="str">
        <f ca="1">IF(OR(ISBLANK(#REF!), M10="Completed", M10="Closed", H10&lt;&gt;"Issue"), "",
   ( NETWORKDAYS.INTL(TODAY(), N10, 1,#REF!) - 1))</f>
        <v/>
      </c>
      <c r="P10" s="65" t="str">
        <f t="shared" ca="1" si="1"/>
        <v/>
      </c>
      <c r="Q10" s="57" t="str">
        <f t="shared" ca="1" si="0"/>
        <v/>
      </c>
    </row>
    <row r="11" spans="1:17" ht="27.6" x14ac:dyDescent="0.3">
      <c r="A11" s="69">
        <v>9</v>
      </c>
      <c r="B11" s="69" t="s">
        <v>127</v>
      </c>
      <c r="C11" s="69" t="s">
        <v>69</v>
      </c>
      <c r="D11" s="69" t="s">
        <v>77</v>
      </c>
      <c r="E11" s="69" t="s">
        <v>102</v>
      </c>
      <c r="F11" s="69" t="s">
        <v>128</v>
      </c>
      <c r="G11" s="69" t="s">
        <v>129</v>
      </c>
      <c r="H11" s="69" t="s">
        <v>70</v>
      </c>
      <c r="I11" s="53" t="s">
        <v>71</v>
      </c>
      <c r="J11" s="70">
        <v>46181.527083333334</v>
      </c>
      <c r="K11" s="66"/>
      <c r="L11" s="66"/>
      <c r="M11" s="69" t="s">
        <v>73</v>
      </c>
      <c r="N11" s="55" t="e">
        <f>IF(ISBLANK(J11),"",IF(OR(M11="Completed",M11="Closed"),"",IF(H11="Issue",IF(I11="High",WORKDAY(J11,2,#REF!),IF(I11="Medium",WORKDAY(J11,14,#REF!),IF(OR(I11="Low"),WORKDAY(J11,30,#REF!),""))),
"")
))</f>
        <v>#REF!</v>
      </c>
      <c r="O11" s="56" t="e">
        <f ca="1">IF(OR(ISBLANK(#REF!), M11="Completed", M11="Closed", H11&lt;&gt;"Issue"), "",
   ( NETWORKDAYS.INTL(TODAY(), N11, 1,#REF!) - 1))</f>
        <v>#REF!</v>
      </c>
      <c r="P11" s="65" t="e">
        <f t="shared" ca="1" si="1"/>
        <v>#REF!</v>
      </c>
      <c r="Q11" s="57" t="e">
        <f t="shared" ca="1" si="0"/>
        <v>#REF!</v>
      </c>
    </row>
    <row r="12" spans="1:17" ht="27.6" x14ac:dyDescent="0.3">
      <c r="A12" s="69">
        <v>10</v>
      </c>
      <c r="B12" s="69" t="s">
        <v>130</v>
      </c>
      <c r="C12" s="69" t="s">
        <v>69</v>
      </c>
      <c r="D12" s="69" t="s">
        <v>95</v>
      </c>
      <c r="E12" s="69" t="s">
        <v>102</v>
      </c>
      <c r="F12" s="69" t="s">
        <v>131</v>
      </c>
      <c r="G12" s="69" t="s">
        <v>129</v>
      </c>
      <c r="H12" s="69" t="s">
        <v>70</v>
      </c>
      <c r="I12" s="53" t="s">
        <v>71</v>
      </c>
      <c r="J12" s="70">
        <v>46181.529861111114</v>
      </c>
      <c r="K12" s="66"/>
      <c r="L12" s="66"/>
      <c r="M12" s="69" t="s">
        <v>73</v>
      </c>
      <c r="N12" s="55" t="e">
        <f>IF(ISBLANK(J12),"",IF(OR(M12="Completed",M12="Closed"),"",IF(H12="Issue",IF(I12="High",WORKDAY(J12,2,#REF!),IF(I12="Medium",WORKDAY(J12,14,#REF!),IF(OR(I12="Low"),WORKDAY(J12,30,#REF!),""))),
"")
))</f>
        <v>#REF!</v>
      </c>
      <c r="O12" s="56" t="e">
        <f ca="1">IF(OR(ISBLANK(#REF!), M12="Completed", M12="Closed", H12&lt;&gt;"Issue"), "",
   ( NETWORKDAYS.INTL(TODAY(), N12, 1,#REF!) - 1))</f>
        <v>#REF!</v>
      </c>
      <c r="P12" s="65" t="e">
        <f t="shared" ca="1" si="1"/>
        <v>#REF!</v>
      </c>
      <c r="Q12" s="57" t="e">
        <f t="shared" ca="1" si="0"/>
        <v>#REF!</v>
      </c>
    </row>
    <row r="13" spans="1:17" ht="27.6" x14ac:dyDescent="0.3">
      <c r="A13" s="69">
        <v>11</v>
      </c>
      <c r="B13" s="69" t="s">
        <v>132</v>
      </c>
      <c r="C13" s="69" t="s">
        <v>69</v>
      </c>
      <c r="D13" s="69" t="s">
        <v>78</v>
      </c>
      <c r="E13" s="69" t="s">
        <v>102</v>
      </c>
      <c r="F13" s="69" t="s">
        <v>120</v>
      </c>
      <c r="G13" s="69" t="s">
        <v>133</v>
      </c>
      <c r="H13" s="69" t="s">
        <v>70</v>
      </c>
      <c r="I13" s="53" t="s">
        <v>71</v>
      </c>
      <c r="J13" s="70">
        <v>46181.530555555553</v>
      </c>
      <c r="K13" s="66"/>
      <c r="L13" s="66"/>
      <c r="M13" s="69" t="s">
        <v>73</v>
      </c>
      <c r="N13" s="55" t="e">
        <f>IF(ISBLANK(J13),"",IF(OR(M13="Completed",M13="Closed"),"",IF(H13="Issue",IF(I13="High",WORKDAY(J13,2,#REF!),IF(I13="Medium",WORKDAY(J13,14,#REF!),IF(OR(I13="Low"),WORKDAY(J13,30,#REF!),""))),
"")
))</f>
        <v>#REF!</v>
      </c>
      <c r="O13" s="56" t="e">
        <f ca="1">IF(OR(ISBLANK(#REF!), M13="Completed", M13="Closed", H13&lt;&gt;"Issue"), "",
   ( NETWORKDAYS.INTL(TODAY(), N13, 1,#REF!) - 1))</f>
        <v>#REF!</v>
      </c>
      <c r="P13" s="65" t="e">
        <f t="shared" ca="1" si="1"/>
        <v>#REF!</v>
      </c>
      <c r="Q13" s="57" t="e">
        <f ca="1">IF(P13="","",
IF(P13&lt;=0,"Not Due",
IF(P13&lt;=30,"1-30 Days",
IF(P13&lt;=60,"31-60 Days",
"&gt;60 Days"))))</f>
        <v>#REF!</v>
      </c>
    </row>
    <row r="14" spans="1:17" ht="41.4" x14ac:dyDescent="0.3">
      <c r="A14" s="69">
        <v>12</v>
      </c>
      <c r="B14" s="69" t="s">
        <v>134</v>
      </c>
      <c r="C14" s="69" t="s">
        <v>69</v>
      </c>
      <c r="D14" s="69" t="s">
        <v>78</v>
      </c>
      <c r="E14" s="69" t="s">
        <v>102</v>
      </c>
      <c r="F14" s="69" t="s">
        <v>135</v>
      </c>
      <c r="G14" s="69" t="s">
        <v>136</v>
      </c>
      <c r="H14" s="69" t="s">
        <v>70</v>
      </c>
      <c r="I14" s="53" t="s">
        <v>71</v>
      </c>
      <c r="J14" s="70">
        <v>46181.53125</v>
      </c>
      <c r="K14" s="66"/>
      <c r="L14" s="66"/>
      <c r="M14" s="69" t="s">
        <v>73</v>
      </c>
      <c r="N14" s="55" t="e">
        <f>IF(ISBLANK(J14),"",IF(OR(M14="Completed",M14="Closed"),"",IF(H14="Issue",IF(I14="High",WORKDAY(J14,2,#REF!),IF(I14="Medium",WORKDAY(J14,14,#REF!),IF(OR(I14="Low"),WORKDAY(J14,30,#REF!),""))),
"")
))</f>
        <v>#REF!</v>
      </c>
      <c r="O14" s="56" t="e">
        <f ca="1">IF(OR(ISBLANK(#REF!), M14="Completed", M14="Closed", H14&lt;&gt;"Issue"), "",
   ( NETWORKDAYS.INTL(TODAY(), N14, 1,#REF!) - 1))</f>
        <v>#REF!</v>
      </c>
      <c r="P14" s="65" t="e">
        <f t="shared" ca="1" si="1"/>
        <v>#REF!</v>
      </c>
      <c r="Q14" s="57" t="e">
        <f t="shared" ref="Q14:Q15" ca="1" si="2">IF(P14="","",
IF(P14&lt;=0,"Not Due",
IF(P14&lt;=30,"1-30 Days",
IF(P14&lt;=60,"31-60 Days",
"&gt;60 Days"))))</f>
        <v>#REF!</v>
      </c>
    </row>
    <row r="15" spans="1:17" ht="27.6" x14ac:dyDescent="0.3">
      <c r="A15" s="69">
        <v>13</v>
      </c>
      <c r="B15" s="69" t="s">
        <v>137</v>
      </c>
      <c r="C15" s="69" t="s">
        <v>69</v>
      </c>
      <c r="D15" s="69" t="s">
        <v>78</v>
      </c>
      <c r="E15" s="69" t="s">
        <v>102</v>
      </c>
      <c r="F15" s="69" t="s">
        <v>135</v>
      </c>
      <c r="G15" s="69" t="s">
        <v>138</v>
      </c>
      <c r="H15" s="69" t="s">
        <v>70</v>
      </c>
      <c r="I15" s="53" t="s">
        <v>71</v>
      </c>
      <c r="J15" s="70">
        <v>46181.53125</v>
      </c>
      <c r="K15" s="66"/>
      <c r="L15" s="66"/>
      <c r="M15" s="69" t="s">
        <v>73</v>
      </c>
      <c r="N15" s="55" t="e">
        <f>IF(ISBLANK(J15),"",IF(OR(M15="Completed",M15="Closed"),"",IF(H15="Issue",IF(I15="High",WORKDAY(J15,2,#REF!),IF(I15="Medium",WORKDAY(J15,14,#REF!),IF(OR(I15="Low"),WORKDAY(J15,30,#REF!),""))),
"")
))</f>
        <v>#REF!</v>
      </c>
      <c r="O15" s="56" t="e">
        <f ca="1">IF(OR(ISBLANK(#REF!), M15="Completed", M15="Closed", H15&lt;&gt;"Issue"), "",
   ( NETWORKDAYS.INTL(TODAY(), N15, 1,#REF!) - 1))</f>
        <v>#REF!</v>
      </c>
      <c r="P15" s="65" t="e">
        <f t="shared" ca="1" si="1"/>
        <v>#REF!</v>
      </c>
      <c r="Q15" s="57" t="e">
        <f t="shared" ca="1" si="2"/>
        <v>#REF!</v>
      </c>
    </row>
    <row r="16" spans="1:17" x14ac:dyDescent="0.3">
      <c r="A16" s="69">
        <v>14</v>
      </c>
      <c r="B16" s="69" t="s">
        <v>139</v>
      </c>
      <c r="C16" s="69" t="s">
        <v>69</v>
      </c>
      <c r="D16" s="69" t="s">
        <v>78</v>
      </c>
      <c r="E16" s="69" t="s">
        <v>102</v>
      </c>
      <c r="F16" s="69" t="s">
        <v>135</v>
      </c>
      <c r="G16" s="69" t="s">
        <v>140</v>
      </c>
      <c r="H16" s="69" t="s">
        <v>70</v>
      </c>
      <c r="I16" s="53" t="s">
        <v>71</v>
      </c>
      <c r="J16" s="70">
        <v>46181.532638888886</v>
      </c>
      <c r="K16" s="66"/>
      <c r="L16" s="66"/>
      <c r="M16" s="69" t="s">
        <v>73</v>
      </c>
      <c r="N16" s="55" t="e">
        <f>IF(ISBLANK(J16),"",IF(OR(M16="Completed",M16="Closed"),"",IF(H16="Issue",IF(I16="High",WORKDAY(J16,2,#REF!),IF(I16="Medium",WORKDAY(J16,14,#REF!),IF(OR(I16="Low"),WORKDAY(J16,30,#REF!),""))),
"")
))</f>
        <v>#REF!</v>
      </c>
      <c r="O16" s="56" t="e">
        <f ca="1">IF(OR(ISBLANK(#REF!), M16="Completed", M16="Closed", H16&lt;&gt;"Issue"), "",
   ( NETWORKDAYS.INTL(TODAY(), N16, 1,#REF!) - 1))</f>
        <v>#REF!</v>
      </c>
      <c r="P16" s="65" t="e">
        <f t="shared" ca="1" si="1"/>
        <v>#REF!</v>
      </c>
      <c r="Q16" s="57" t="e">
        <f t="shared" ref="Q16:Q79" ca="1" si="3">IF(P16="","",
IF(P16&lt;=30,"1-30 Days",
IF(AND(P16&gt;=31,P16&lt;=60),"31-60 Days",
"&gt;60 Days")))</f>
        <v>#REF!</v>
      </c>
    </row>
    <row r="17" spans="1:17" ht="27.6" x14ac:dyDescent="0.3">
      <c r="A17" s="69">
        <v>15</v>
      </c>
      <c r="B17" s="69" t="s">
        <v>141</v>
      </c>
      <c r="C17" s="69" t="s">
        <v>69</v>
      </c>
      <c r="D17" s="69" t="s">
        <v>78</v>
      </c>
      <c r="E17" s="69" t="s">
        <v>102</v>
      </c>
      <c r="F17" s="69" t="s">
        <v>142</v>
      </c>
      <c r="G17" s="69" t="s">
        <v>143</v>
      </c>
      <c r="H17" s="69" t="s">
        <v>70</v>
      </c>
      <c r="I17" s="53" t="s">
        <v>71</v>
      </c>
      <c r="J17" s="70">
        <v>46181.53402777778</v>
      </c>
      <c r="K17" s="70">
        <v>46181.573611111111</v>
      </c>
      <c r="L17" s="70">
        <v>46181.574305555558</v>
      </c>
      <c r="M17" s="69" t="s">
        <v>72</v>
      </c>
      <c r="N17" s="55" t="str">
        <f>IF(ISBLANK(J17),"",IF(OR(M17="Completed",M17="Closed"),"",IF(H17="Issue",IF(I17="High",WORKDAY(J17,2,#REF!),IF(I17="Medium",WORKDAY(J17,14,#REF!),IF(OR(I17="Low"),WORKDAY(J17,30,#REF!),""))),
"")
))</f>
        <v/>
      </c>
      <c r="O17" s="56" t="str">
        <f ca="1">IF(OR(ISBLANK(#REF!), M17="Completed", M17="Closed", H17&lt;&gt;"Issue"), "",
   ( NETWORKDAYS.INTL(TODAY(), N17, 1,#REF!) - 1))</f>
        <v/>
      </c>
      <c r="P17" s="65" t="str">
        <f t="shared" ca="1" si="1"/>
        <v/>
      </c>
      <c r="Q17" s="57" t="str">
        <f t="shared" ca="1" si="3"/>
        <v/>
      </c>
    </row>
    <row r="18" spans="1:17" ht="27.6" x14ac:dyDescent="0.3">
      <c r="A18" s="69">
        <v>16</v>
      </c>
      <c r="B18" s="69" t="s">
        <v>144</v>
      </c>
      <c r="C18" s="69" t="s">
        <v>69</v>
      </c>
      <c r="D18" s="69" t="s">
        <v>78</v>
      </c>
      <c r="E18" s="69" t="s">
        <v>102</v>
      </c>
      <c r="F18" s="69" t="s">
        <v>142</v>
      </c>
      <c r="G18" s="69" t="s">
        <v>143</v>
      </c>
      <c r="H18" s="69" t="s">
        <v>70</v>
      </c>
      <c r="I18" s="53" t="s">
        <v>71</v>
      </c>
      <c r="J18" s="70">
        <v>46181.53402777778</v>
      </c>
      <c r="K18" s="66"/>
      <c r="L18" s="66"/>
      <c r="M18" s="69" t="s">
        <v>73</v>
      </c>
      <c r="N18" s="55" t="e">
        <f>IF(ISBLANK(J18),"",IF(OR(M18="Completed",M18="Closed"),"",IF(H18="Issue",IF(I18="High",WORKDAY(J18,2,#REF!),IF(I18="Medium",WORKDAY(J18,14,#REF!),IF(OR(I18="Low"),WORKDAY(J18,30,#REF!),""))),
"")
))</f>
        <v>#REF!</v>
      </c>
      <c r="O18" s="56" t="e">
        <f ca="1">IF(OR(ISBLANK(#REF!), M18="Completed", M18="Closed", H18&lt;&gt;"Issue"), "",
   ( NETWORKDAYS.INTL(TODAY(), N18, 1,#REF!) - 1))</f>
        <v>#REF!</v>
      </c>
      <c r="P18" s="65" t="e">
        <f t="shared" ca="1" si="1"/>
        <v>#REF!</v>
      </c>
      <c r="Q18" s="57" t="e">
        <f t="shared" ca="1" si="3"/>
        <v>#REF!</v>
      </c>
    </row>
    <row r="19" spans="1:17" ht="27.6" x14ac:dyDescent="0.3">
      <c r="A19" s="69">
        <v>17</v>
      </c>
      <c r="B19" s="69" t="s">
        <v>145</v>
      </c>
      <c r="C19" s="69" t="s">
        <v>69</v>
      </c>
      <c r="D19" s="69" t="s">
        <v>78</v>
      </c>
      <c r="E19" s="69" t="s">
        <v>102</v>
      </c>
      <c r="F19" s="69" t="s">
        <v>142</v>
      </c>
      <c r="G19" s="69" t="s">
        <v>146</v>
      </c>
      <c r="H19" s="69" t="s">
        <v>70</v>
      </c>
      <c r="I19" s="53" t="s">
        <v>71</v>
      </c>
      <c r="J19" s="70">
        <v>46181.534722222219</v>
      </c>
      <c r="K19" s="66"/>
      <c r="L19" s="66"/>
      <c r="M19" s="69" t="s">
        <v>73</v>
      </c>
      <c r="N19" s="55" t="e">
        <f>IF(ISBLANK(J19),"",IF(OR(M19="Completed",M19="Closed"),"",IF(H19="Issue",IF(I19="High",WORKDAY(J19,2,#REF!),IF(I19="Medium",WORKDAY(J19,14,#REF!),IF(OR(I19="Low"),WORKDAY(J19,30,#REF!),""))),
"")
))</f>
        <v>#REF!</v>
      </c>
      <c r="O19" s="56" t="e">
        <f ca="1">IF(OR(ISBLANK(#REF!), M19="Completed", M19="Closed", H19&lt;&gt;"Issue"), "",
   ( NETWORKDAYS.INTL(TODAY(), N19, 1,#REF!) - 1))</f>
        <v>#REF!</v>
      </c>
      <c r="P19" s="65" t="e">
        <f t="shared" ca="1" si="1"/>
        <v>#REF!</v>
      </c>
      <c r="Q19" s="57" t="e">
        <f t="shared" ca="1" si="3"/>
        <v>#REF!</v>
      </c>
    </row>
    <row r="20" spans="1:17" ht="55.2" x14ac:dyDescent="0.3">
      <c r="A20" s="69">
        <v>18</v>
      </c>
      <c r="B20" s="69" t="s">
        <v>147</v>
      </c>
      <c r="C20" s="69" t="s">
        <v>69</v>
      </c>
      <c r="D20" s="69" t="s">
        <v>78</v>
      </c>
      <c r="E20" s="69" t="s">
        <v>102</v>
      </c>
      <c r="F20" s="69" t="s">
        <v>142</v>
      </c>
      <c r="G20" s="69" t="s">
        <v>148</v>
      </c>
      <c r="H20" s="69" t="s">
        <v>70</v>
      </c>
      <c r="I20" s="53" t="s">
        <v>71</v>
      </c>
      <c r="J20" s="70">
        <v>46181.536111111112</v>
      </c>
      <c r="K20" s="66"/>
      <c r="L20" s="66"/>
      <c r="M20" s="69" t="s">
        <v>73</v>
      </c>
      <c r="N20" s="55" t="e">
        <f>IF(ISBLANK(J20),"",IF(OR(M20="Completed",M20="Closed"),"",IF(H20="Issue",IF(I20="High",WORKDAY(J20,2,#REF!),IF(I20="Medium",WORKDAY(J20,14,#REF!),IF(OR(I20="Low"),WORKDAY(J20,30,#REF!),""))),
"")
))</f>
        <v>#REF!</v>
      </c>
      <c r="O20" s="56" t="e">
        <f ca="1">IF(OR(ISBLANK(#REF!), M20="Completed", M20="Closed", H20&lt;&gt;"Issue"), "",
   ( NETWORKDAYS.INTL(TODAY(), N20, 1,#REF!) - 1))</f>
        <v>#REF!</v>
      </c>
      <c r="P20" s="65" t="e">
        <f t="shared" ca="1" si="1"/>
        <v>#REF!</v>
      </c>
      <c r="Q20" s="57" t="e">
        <f t="shared" ca="1" si="3"/>
        <v>#REF!</v>
      </c>
    </row>
    <row r="21" spans="1:17" ht="179.4" x14ac:dyDescent="0.3">
      <c r="A21" s="69">
        <v>19</v>
      </c>
      <c r="B21" s="69" t="s">
        <v>149</v>
      </c>
      <c r="C21" s="69" t="s">
        <v>69</v>
      </c>
      <c r="D21" s="69" t="s">
        <v>78</v>
      </c>
      <c r="E21" s="69" t="s">
        <v>102</v>
      </c>
      <c r="F21" s="69" t="s">
        <v>150</v>
      </c>
      <c r="G21" s="69" t="s">
        <v>151</v>
      </c>
      <c r="H21" s="69" t="s">
        <v>70</v>
      </c>
      <c r="I21" s="53" t="s">
        <v>71</v>
      </c>
      <c r="J21" s="70">
        <v>46181.537499999999</v>
      </c>
      <c r="K21" s="66"/>
      <c r="L21" s="66"/>
      <c r="M21" s="69" t="s">
        <v>73</v>
      </c>
      <c r="N21" s="55" t="e">
        <f>IF(ISBLANK(J21),"",IF(OR(M21="Completed",M21="Closed"),"",IF(H21="Issue",IF(I21="High",WORKDAY(J21,2,#REF!),IF(I21="Medium",WORKDAY(J21,14,#REF!),IF(OR(I21="Low"),WORKDAY(J21,30,#REF!),""))),
"")
))</f>
        <v>#REF!</v>
      </c>
      <c r="O21" s="56" t="e">
        <f ca="1">IF(OR(ISBLANK(#REF!), M21="Completed", M21="Closed", H21&lt;&gt;"Issue"), "",
   ( NETWORKDAYS.INTL(TODAY(), N21, 1,#REF!) - 1))</f>
        <v>#REF!</v>
      </c>
      <c r="P21" s="65" t="e">
        <f t="shared" ca="1" si="1"/>
        <v>#REF!</v>
      </c>
      <c r="Q21" s="57" t="e">
        <f t="shared" ca="1" si="3"/>
        <v>#REF!</v>
      </c>
    </row>
    <row r="22" spans="1:17" ht="41.4" x14ac:dyDescent="0.3">
      <c r="A22" s="69">
        <v>20</v>
      </c>
      <c r="B22" s="69" t="s">
        <v>152</v>
      </c>
      <c r="C22" s="69" t="s">
        <v>69</v>
      </c>
      <c r="D22" s="69" t="s">
        <v>78</v>
      </c>
      <c r="E22" s="69" t="s">
        <v>102</v>
      </c>
      <c r="F22" s="69" t="s">
        <v>153</v>
      </c>
      <c r="G22" s="69" t="s">
        <v>154</v>
      </c>
      <c r="H22" s="69" t="s">
        <v>70</v>
      </c>
      <c r="I22" s="53" t="s">
        <v>71</v>
      </c>
      <c r="J22" s="70">
        <v>46181.538194444445</v>
      </c>
      <c r="K22" s="66"/>
      <c r="L22" s="66"/>
      <c r="M22" s="69" t="s">
        <v>73</v>
      </c>
      <c r="N22" s="55" t="e">
        <f>IF(ISBLANK(J22),"",IF(OR(M22="Completed",M22="Closed"),"",IF(H22="Issue",IF(I22="High",WORKDAY(J22,2,#REF!),IF(I22="Medium",WORKDAY(J22,14,#REF!),IF(OR(I22="Low"),WORKDAY(J22,30,#REF!),""))),
"")
))</f>
        <v>#REF!</v>
      </c>
      <c r="O22" s="56" t="e">
        <f ca="1">IF(OR(ISBLANK(#REF!), M22="Completed", M22="Closed", H22&lt;&gt;"Issue"), "",
   ( NETWORKDAYS.INTL(TODAY(), N22, 1,#REF!) - 1))</f>
        <v>#REF!</v>
      </c>
      <c r="P22" s="65" t="e">
        <f t="shared" ca="1" si="1"/>
        <v>#REF!</v>
      </c>
      <c r="Q22" s="57" t="e">
        <f t="shared" ca="1" si="3"/>
        <v>#REF!</v>
      </c>
    </row>
    <row r="23" spans="1:17" ht="41.4" x14ac:dyDescent="0.3">
      <c r="A23" s="69">
        <v>21</v>
      </c>
      <c r="B23" s="69" t="s">
        <v>155</v>
      </c>
      <c r="C23" s="69" t="s">
        <v>69</v>
      </c>
      <c r="D23" s="69" t="s">
        <v>78</v>
      </c>
      <c r="E23" s="69" t="s">
        <v>102</v>
      </c>
      <c r="F23" s="69" t="s">
        <v>153</v>
      </c>
      <c r="G23" s="69" t="s">
        <v>156</v>
      </c>
      <c r="H23" s="69" t="s">
        <v>70</v>
      </c>
      <c r="I23" s="53" t="s">
        <v>71</v>
      </c>
      <c r="J23" s="70">
        <v>46181.538888888892</v>
      </c>
      <c r="K23" s="66"/>
      <c r="L23" s="66"/>
      <c r="M23" s="69" t="s">
        <v>73</v>
      </c>
      <c r="N23" s="55" t="e">
        <f>IF(ISBLANK(J23),"",IF(OR(M23="Completed",M23="Closed"),"",IF(H23="Issue",IF(I23="High",WORKDAY(J23,2,#REF!),IF(I23="Medium",WORKDAY(J23,14,#REF!),IF(OR(I23="Low"),WORKDAY(J23,30,#REF!),""))),
"")
))</f>
        <v>#REF!</v>
      </c>
      <c r="O23" s="56" t="e">
        <f ca="1">IF(OR(ISBLANK(#REF!), M23="Completed", M23="Closed", H23&lt;&gt;"Issue"), "",
   ( NETWORKDAYS.INTL(TODAY(), N23, 1,#REF!) - 1))</f>
        <v>#REF!</v>
      </c>
      <c r="P23" s="65" t="e">
        <f t="shared" ca="1" si="1"/>
        <v>#REF!</v>
      </c>
      <c r="Q23" s="57" t="e">
        <f t="shared" ca="1" si="3"/>
        <v>#REF!</v>
      </c>
    </row>
    <row r="24" spans="1:17" ht="41.4" x14ac:dyDescent="0.3">
      <c r="A24" s="69">
        <v>22</v>
      </c>
      <c r="B24" s="69" t="s">
        <v>157</v>
      </c>
      <c r="C24" s="69" t="s">
        <v>69</v>
      </c>
      <c r="D24" s="69" t="s">
        <v>78</v>
      </c>
      <c r="E24" s="69" t="s">
        <v>102</v>
      </c>
      <c r="F24" s="69" t="s">
        <v>153</v>
      </c>
      <c r="G24" s="69" t="s">
        <v>158</v>
      </c>
      <c r="H24" s="69" t="s">
        <v>70</v>
      </c>
      <c r="I24" s="53" t="s">
        <v>71</v>
      </c>
      <c r="J24" s="70">
        <v>46181.539583333331</v>
      </c>
      <c r="K24" s="66"/>
      <c r="L24" s="66"/>
      <c r="M24" s="69" t="s">
        <v>73</v>
      </c>
      <c r="N24" s="55" t="e">
        <f>IF(ISBLANK(J24),"",IF(OR(M24="Completed",M24="Closed"),"",IF(H24="Issue",IF(I24="High",WORKDAY(J24,2,#REF!),IF(I24="Medium",WORKDAY(J24,14,#REF!),IF(OR(I24="Low"),WORKDAY(J24,30,#REF!),""))),
"")
))</f>
        <v>#REF!</v>
      </c>
      <c r="O24" s="56" t="e">
        <f ca="1">IF(OR(ISBLANK(#REF!), M24="Completed", M24="Closed", H24&lt;&gt;"Issue"), "",
   ( NETWORKDAYS.INTL(TODAY(), N24, 1,#REF!) - 1))</f>
        <v>#REF!</v>
      </c>
      <c r="P24" s="65" t="e">
        <f t="shared" ca="1" si="1"/>
        <v>#REF!</v>
      </c>
      <c r="Q24" s="57" t="e">
        <f t="shared" ca="1" si="3"/>
        <v>#REF!</v>
      </c>
    </row>
    <row r="25" spans="1:17" ht="110.4" x14ac:dyDescent="0.3">
      <c r="A25" s="69">
        <v>23</v>
      </c>
      <c r="B25" s="69" t="s">
        <v>159</v>
      </c>
      <c r="C25" s="69" t="s">
        <v>69</v>
      </c>
      <c r="D25" s="69" t="s">
        <v>78</v>
      </c>
      <c r="E25" s="69" t="s">
        <v>102</v>
      </c>
      <c r="F25" s="69" t="s">
        <v>160</v>
      </c>
      <c r="G25" s="69" t="s">
        <v>161</v>
      </c>
      <c r="H25" s="69" t="s">
        <v>70</v>
      </c>
      <c r="I25" s="53" t="s">
        <v>71</v>
      </c>
      <c r="J25" s="70">
        <v>46181.540277777778</v>
      </c>
      <c r="K25" s="66"/>
      <c r="L25" s="66"/>
      <c r="M25" s="69" t="s">
        <v>73</v>
      </c>
      <c r="N25" s="55" t="e">
        <f>IF(ISBLANK(J25),"",IF(OR(M25="Completed",M25="Closed"),"",IF(H25="Issue",IF(I25="High",WORKDAY(J25,2,#REF!),IF(I25="Medium",WORKDAY(J25,14,#REF!),IF(OR(I25="Low"),WORKDAY(J25,30,#REF!),""))),
"")
))</f>
        <v>#REF!</v>
      </c>
      <c r="O25" s="56" t="e">
        <f ca="1">IF(OR(ISBLANK(#REF!), M25="Completed", M25="Closed", H25&lt;&gt;"Issue"), "",
   ( NETWORKDAYS.INTL(TODAY(), N25, 1,#REF!) - 1))</f>
        <v>#REF!</v>
      </c>
      <c r="P25" s="65" t="e">
        <f t="shared" ca="1" si="1"/>
        <v>#REF!</v>
      </c>
      <c r="Q25" s="57" t="e">
        <f t="shared" ca="1" si="3"/>
        <v>#REF!</v>
      </c>
    </row>
    <row r="26" spans="1:17" ht="41.4" x14ac:dyDescent="0.3">
      <c r="A26" s="69">
        <v>24</v>
      </c>
      <c r="B26" s="69" t="s">
        <v>162</v>
      </c>
      <c r="C26" s="69" t="s">
        <v>69</v>
      </c>
      <c r="D26" s="69" t="s">
        <v>78</v>
      </c>
      <c r="E26" s="69" t="s">
        <v>102</v>
      </c>
      <c r="F26" s="69" t="s">
        <v>160</v>
      </c>
      <c r="G26" s="69" t="s">
        <v>163</v>
      </c>
      <c r="H26" s="69" t="s">
        <v>70</v>
      </c>
      <c r="I26" s="53" t="s">
        <v>71</v>
      </c>
      <c r="J26" s="70">
        <v>46181.540972222225</v>
      </c>
      <c r="K26" s="66"/>
      <c r="L26" s="66"/>
      <c r="M26" s="69" t="s">
        <v>73</v>
      </c>
      <c r="N26" s="55" t="e">
        <f>IF(ISBLANK(J26),"",IF(OR(M26="Completed",M26="Closed"),"",IF(H26="Issue",IF(I26="High",WORKDAY(J26,2,#REF!),IF(I26="Medium",WORKDAY(J26,14,#REF!),IF(OR(I26="Low"),WORKDAY(J26,30,#REF!),""))),
"")
))</f>
        <v>#REF!</v>
      </c>
      <c r="O26" s="56" t="e">
        <f ca="1">IF(OR(ISBLANK(#REF!), M26="Completed", M26="Closed", H26&lt;&gt;"Issue"), "",
   ( NETWORKDAYS.INTL(TODAY(), N26, 1,#REF!) - 1))</f>
        <v>#REF!</v>
      </c>
      <c r="P26" s="65" t="e">
        <f t="shared" ca="1" si="1"/>
        <v>#REF!</v>
      </c>
      <c r="Q26" s="57" t="e">
        <f t="shared" ca="1" si="3"/>
        <v>#REF!</v>
      </c>
    </row>
    <row r="27" spans="1:17" ht="27.6" x14ac:dyDescent="0.3">
      <c r="A27" s="69">
        <v>25</v>
      </c>
      <c r="B27" s="69" t="s">
        <v>164</v>
      </c>
      <c r="C27" s="69" t="s">
        <v>69</v>
      </c>
      <c r="D27" s="69" t="s">
        <v>78</v>
      </c>
      <c r="E27" s="69" t="s">
        <v>102</v>
      </c>
      <c r="F27" s="69" t="s">
        <v>160</v>
      </c>
      <c r="G27" s="69" t="s">
        <v>165</v>
      </c>
      <c r="H27" s="69" t="s">
        <v>70</v>
      </c>
      <c r="I27" s="53" t="s">
        <v>71</v>
      </c>
      <c r="J27" s="70">
        <v>46181.541666666664</v>
      </c>
      <c r="K27" s="66"/>
      <c r="L27" s="66"/>
      <c r="M27" s="69" t="s">
        <v>73</v>
      </c>
      <c r="N27" s="55" t="e">
        <f>IF(ISBLANK(J27),"",IF(OR(M27="Completed",M27="Closed"),"",IF(H27="Issue",IF(I27="High",WORKDAY(J27,2,#REF!),IF(I27="Medium",WORKDAY(J27,14,#REF!),IF(OR(I27="Low"),WORKDAY(J27,30,#REF!),""))),
"")
))</f>
        <v>#REF!</v>
      </c>
      <c r="O27" s="56" t="e">
        <f ca="1">IF(OR(ISBLANK(#REF!), M27="Completed", M27="Closed", H27&lt;&gt;"Issue"), "",
   ( NETWORKDAYS.INTL(TODAY(), N27, 1,#REF!) - 1))</f>
        <v>#REF!</v>
      </c>
      <c r="P27" s="65" t="e">
        <f t="shared" ca="1" si="1"/>
        <v>#REF!</v>
      </c>
      <c r="Q27" s="57" t="e">
        <f t="shared" ca="1" si="3"/>
        <v>#REF!</v>
      </c>
    </row>
    <row r="28" spans="1:17" ht="27.6" x14ac:dyDescent="0.3">
      <c r="A28" s="69">
        <v>26</v>
      </c>
      <c r="B28" s="69" t="s">
        <v>166</v>
      </c>
      <c r="C28" s="69" t="s">
        <v>69</v>
      </c>
      <c r="D28" s="69" t="s">
        <v>78</v>
      </c>
      <c r="E28" s="69" t="s">
        <v>102</v>
      </c>
      <c r="F28" s="69" t="s">
        <v>160</v>
      </c>
      <c r="G28" s="69" t="s">
        <v>167</v>
      </c>
      <c r="H28" s="69" t="s">
        <v>70</v>
      </c>
      <c r="I28" s="53" t="s">
        <v>71</v>
      </c>
      <c r="J28" s="70">
        <v>46181.542361111111</v>
      </c>
      <c r="K28" s="66"/>
      <c r="L28" s="66"/>
      <c r="M28" s="69" t="s">
        <v>73</v>
      </c>
      <c r="N28" s="55" t="e">
        <f>IF(ISBLANK(J28),"",IF(OR(M28="Completed",M28="Closed"),"",IF(H28="Issue",IF(I28="High",WORKDAY(J28,2,#REF!),IF(I28="Medium",WORKDAY(J28,14,#REF!),IF(OR(I28="Low"),WORKDAY(J28,30,#REF!),""))),
"")
))</f>
        <v>#REF!</v>
      </c>
      <c r="O28" s="56" t="e">
        <f ca="1">IF(OR(ISBLANK(#REF!), M28="Completed", M28="Closed", H28&lt;&gt;"Issue"), "",
   ( NETWORKDAYS.INTL(TODAY(), N28, 1,#REF!) - 1))</f>
        <v>#REF!</v>
      </c>
      <c r="P28" s="65" t="e">
        <f t="shared" ca="1" si="1"/>
        <v>#REF!</v>
      </c>
      <c r="Q28" s="57" t="e">
        <f t="shared" ca="1" si="3"/>
        <v>#REF!</v>
      </c>
    </row>
    <row r="29" spans="1:17" ht="55.2" x14ac:dyDescent="0.3">
      <c r="A29" s="69">
        <v>27</v>
      </c>
      <c r="B29" s="69" t="s">
        <v>168</v>
      </c>
      <c r="C29" s="69" t="s">
        <v>69</v>
      </c>
      <c r="D29" s="69" t="s">
        <v>98</v>
      </c>
      <c r="E29" s="69" t="s">
        <v>102</v>
      </c>
      <c r="F29" s="69" t="s">
        <v>169</v>
      </c>
      <c r="G29" s="69" t="s">
        <v>170</v>
      </c>
      <c r="H29" s="69" t="s">
        <v>70</v>
      </c>
      <c r="I29" s="53" t="s">
        <v>71</v>
      </c>
      <c r="J29" s="70">
        <v>46181.542361111111</v>
      </c>
      <c r="K29" s="70">
        <v>46211.476388888892</v>
      </c>
      <c r="L29" s="70">
        <v>46211.476388888892</v>
      </c>
      <c r="M29" s="69" t="s">
        <v>72</v>
      </c>
      <c r="N29" s="55" t="str">
        <f>IF(ISBLANK(J29),"",IF(OR(M29="Completed",M29="Closed"),"",IF(H29="Issue",IF(I29="High",WORKDAY(J29,2,#REF!),IF(I29="Medium",WORKDAY(J29,14,#REF!),IF(OR(I29="Low"),WORKDAY(J29,30,#REF!),""))),
"")
))</f>
        <v/>
      </c>
      <c r="O29" s="56" t="str">
        <f ca="1">IF(OR(ISBLANK(#REF!), M29="Completed", M29="Closed", H29&lt;&gt;"Issue"), "",
   ( NETWORKDAYS.INTL(TODAY(), N29, 1,#REF!) - 1))</f>
        <v/>
      </c>
      <c r="P29" s="65" t="str">
        <f t="shared" ca="1" si="1"/>
        <v/>
      </c>
      <c r="Q29" s="57" t="str">
        <f t="shared" ca="1" si="3"/>
        <v/>
      </c>
    </row>
    <row r="30" spans="1:17" ht="41.4" x14ac:dyDescent="0.3">
      <c r="A30" s="69">
        <v>28</v>
      </c>
      <c r="B30" s="69" t="s">
        <v>171</v>
      </c>
      <c r="C30" s="69" t="s">
        <v>69</v>
      </c>
      <c r="D30" s="69" t="s">
        <v>78</v>
      </c>
      <c r="E30" s="69" t="s">
        <v>102</v>
      </c>
      <c r="F30" s="69" t="s">
        <v>172</v>
      </c>
      <c r="G30" s="69" t="s">
        <v>173</v>
      </c>
      <c r="H30" s="69" t="s">
        <v>70</v>
      </c>
      <c r="I30" s="53" t="s">
        <v>71</v>
      </c>
      <c r="J30" s="70">
        <v>46181.543749999997</v>
      </c>
      <c r="K30" s="70">
        <v>46181.572916666664</v>
      </c>
      <c r="L30" s="70">
        <v>46181.572916666664</v>
      </c>
      <c r="M30" s="69" t="s">
        <v>72</v>
      </c>
      <c r="N30" s="55" t="str">
        <f>IF(ISBLANK(J30),"",IF(OR(M30="Completed",M30="Closed"),"",IF(H30="Issue",IF(I30="High",WORKDAY(J30,2,#REF!),IF(I30="Medium",WORKDAY(J30,14,#REF!),IF(OR(I30="Low"),WORKDAY(J30,30,#REF!),""))),
"")
))</f>
        <v/>
      </c>
      <c r="O30" s="56" t="str">
        <f ca="1">IF(OR(ISBLANK(#REF!), M30="Completed", M30="Closed", H30&lt;&gt;"Issue"), "",
   ( NETWORKDAYS.INTL(TODAY(), N30, 1,#REF!) - 1))</f>
        <v/>
      </c>
      <c r="P30" s="65" t="str">
        <f t="shared" ca="1" si="1"/>
        <v/>
      </c>
      <c r="Q30" s="57" t="str">
        <f t="shared" ca="1" si="3"/>
        <v/>
      </c>
    </row>
    <row r="31" spans="1:17" ht="41.4" x14ac:dyDescent="0.3">
      <c r="A31" s="69">
        <v>29</v>
      </c>
      <c r="B31" s="69" t="s">
        <v>174</v>
      </c>
      <c r="C31" s="69" t="s">
        <v>69</v>
      </c>
      <c r="D31" s="69" t="s">
        <v>78</v>
      </c>
      <c r="E31" s="69" t="s">
        <v>102</v>
      </c>
      <c r="F31" s="69" t="s">
        <v>175</v>
      </c>
      <c r="G31" s="69" t="s">
        <v>176</v>
      </c>
      <c r="H31" s="69" t="s">
        <v>70</v>
      </c>
      <c r="I31" s="53" t="s">
        <v>71</v>
      </c>
      <c r="J31" s="70">
        <v>46181.543749999997</v>
      </c>
      <c r="K31" s="66"/>
      <c r="L31" s="66"/>
      <c r="M31" s="69" t="s">
        <v>73</v>
      </c>
      <c r="N31" s="55" t="e">
        <f>IF(ISBLANK(J31),"",IF(OR(M31="Completed",M31="Closed"),"",IF(H31="Issue",IF(I31="High",WORKDAY(J31,2,#REF!),IF(I31="Medium",WORKDAY(J31,14,#REF!),IF(OR(I31="Low"),WORKDAY(J31,30,#REF!),""))),
"")
))</f>
        <v>#REF!</v>
      </c>
      <c r="O31" s="56" t="e">
        <f ca="1">IF(OR(ISBLANK(#REF!), M31="Completed", M31="Closed", H31&lt;&gt;"Issue"), "",
   ( NETWORKDAYS.INTL(TODAY(), N31, 1,#REF!) - 1))</f>
        <v>#REF!</v>
      </c>
      <c r="P31" s="65" t="e">
        <f t="shared" ca="1" si="1"/>
        <v>#REF!</v>
      </c>
      <c r="Q31" s="57" t="e">
        <f t="shared" ca="1" si="3"/>
        <v>#REF!</v>
      </c>
    </row>
    <row r="32" spans="1:17" ht="69" x14ac:dyDescent="0.3">
      <c r="A32" s="69">
        <v>30</v>
      </c>
      <c r="B32" s="69" t="s">
        <v>177</v>
      </c>
      <c r="C32" s="69" t="s">
        <v>69</v>
      </c>
      <c r="D32" s="69" t="s">
        <v>78</v>
      </c>
      <c r="E32" s="69" t="s">
        <v>102</v>
      </c>
      <c r="F32" s="69" t="s">
        <v>178</v>
      </c>
      <c r="G32" s="69" t="s">
        <v>179</v>
      </c>
      <c r="H32" s="69" t="s">
        <v>70</v>
      </c>
      <c r="I32" s="53" t="s">
        <v>71</v>
      </c>
      <c r="J32" s="70">
        <v>46181.544444444444</v>
      </c>
      <c r="K32" s="66"/>
      <c r="L32" s="66"/>
      <c r="M32" s="69" t="s">
        <v>73</v>
      </c>
      <c r="N32" s="55" t="e">
        <f>IF(ISBLANK(J32),"",IF(OR(M32="Completed",M32="Closed"),"",IF(H32="Issue",IF(I32="High",WORKDAY(J32,2,#REF!),IF(I32="Medium",WORKDAY(J32,14,#REF!),IF(OR(I32="Low"),WORKDAY(J32,30,#REF!),""))),
"")
))</f>
        <v>#REF!</v>
      </c>
      <c r="O32" s="56" t="e">
        <f ca="1">IF(OR(ISBLANK(#REF!), M32="Completed", M32="Closed", H32&lt;&gt;"Issue"), "",
   ( NETWORKDAYS.INTL(TODAY(), N32, 1,#REF!) - 1))</f>
        <v>#REF!</v>
      </c>
      <c r="P32" s="65" t="e">
        <f t="shared" ca="1" si="1"/>
        <v>#REF!</v>
      </c>
      <c r="Q32" s="57" t="e">
        <f t="shared" ca="1" si="3"/>
        <v>#REF!</v>
      </c>
    </row>
    <row r="33" spans="1:17" ht="27.6" x14ac:dyDescent="0.3">
      <c r="A33" s="69">
        <v>31</v>
      </c>
      <c r="B33" s="69" t="s">
        <v>180</v>
      </c>
      <c r="C33" s="69" t="s">
        <v>69</v>
      </c>
      <c r="D33" s="69" t="s">
        <v>78</v>
      </c>
      <c r="E33" s="69" t="s">
        <v>102</v>
      </c>
      <c r="F33" s="69" t="s">
        <v>181</v>
      </c>
      <c r="G33" s="69" t="s">
        <v>182</v>
      </c>
      <c r="H33" s="69" t="s">
        <v>70</v>
      </c>
      <c r="I33" s="53" t="s">
        <v>71</v>
      </c>
      <c r="J33" s="70">
        <v>46191.381249999999</v>
      </c>
      <c r="K33" s="66"/>
      <c r="L33" s="66"/>
      <c r="M33" s="69" t="s">
        <v>73</v>
      </c>
      <c r="N33" s="55" t="e">
        <f>IF(ISBLANK(J33),"",IF(OR(M33="Completed",M33="Closed"),"",IF(H33="Issue",IF(I33="High",WORKDAY(J33,2,#REF!),IF(I33="Medium",WORKDAY(J33,14,#REF!),IF(OR(I33="Low"),WORKDAY(J33,30,#REF!),""))),
"")
))</f>
        <v>#REF!</v>
      </c>
      <c r="O33" s="56" t="e">
        <f ca="1">IF(OR(ISBLANK(#REF!), M33="Completed", M33="Closed", H33&lt;&gt;"Issue"), "",
   ( NETWORKDAYS.INTL(TODAY(), N33, 1,#REF!) - 1))</f>
        <v>#REF!</v>
      </c>
      <c r="P33" s="65" t="e">
        <f t="shared" ca="1" si="1"/>
        <v>#REF!</v>
      </c>
      <c r="Q33" s="57" t="e">
        <f t="shared" ca="1" si="3"/>
        <v>#REF!</v>
      </c>
    </row>
    <row r="34" spans="1:17" ht="27.6" x14ac:dyDescent="0.3">
      <c r="A34" s="69">
        <v>32</v>
      </c>
      <c r="B34" s="69" t="s">
        <v>183</v>
      </c>
      <c r="C34" s="69" t="s">
        <v>69</v>
      </c>
      <c r="D34" s="69" t="s">
        <v>78</v>
      </c>
      <c r="E34" s="69" t="s">
        <v>102</v>
      </c>
      <c r="F34" s="69" t="s">
        <v>184</v>
      </c>
      <c r="G34" s="69" t="s">
        <v>185</v>
      </c>
      <c r="H34" s="69" t="s">
        <v>70</v>
      </c>
      <c r="I34" s="53" t="s">
        <v>71</v>
      </c>
      <c r="J34" s="70">
        <v>46191.383333333331</v>
      </c>
      <c r="K34" s="66"/>
      <c r="L34" s="66"/>
      <c r="M34" s="69" t="s">
        <v>73</v>
      </c>
      <c r="N34" s="55" t="e">
        <f>IF(ISBLANK(J34),"",IF(OR(M34="Completed",M34="Closed"),"",IF(H34="Issue",IF(I34="High",WORKDAY(J34,2,#REF!),IF(I34="Medium",WORKDAY(J34,14,#REF!),IF(OR(I34="Low"),WORKDAY(J34,30,#REF!),""))),
"")
))</f>
        <v>#REF!</v>
      </c>
      <c r="O34" s="56" t="e">
        <f ca="1">IF(OR(ISBLANK(#REF!), M34="Completed", M34="Closed", H34&lt;&gt;"Issue"), "",
   ( NETWORKDAYS.INTL(TODAY(), N34, 1,#REF!) - 1))</f>
        <v>#REF!</v>
      </c>
      <c r="P34" s="65" t="e">
        <f t="shared" ca="1" si="1"/>
        <v>#REF!</v>
      </c>
      <c r="Q34" s="57" t="e">
        <f t="shared" ca="1" si="3"/>
        <v>#REF!</v>
      </c>
    </row>
    <row r="35" spans="1:17" x14ac:dyDescent="0.3">
      <c r="A35" s="53"/>
      <c r="B35" s="53"/>
      <c r="C35" s="53"/>
      <c r="D35" s="53"/>
      <c r="E35" s="53"/>
      <c r="F35" s="53"/>
      <c r="G35" s="53"/>
      <c r="H35" s="53"/>
      <c r="I35" s="53" t="s">
        <v>71</v>
      </c>
      <c r="J35" s="54"/>
      <c r="K35" s="59"/>
      <c r="L35" s="59"/>
      <c r="M35" s="53"/>
      <c r="N35" s="55" t="str">
        <f>IF(ISBLANK(J35),"",IF(OR(M35="Completed",M35="Closed"),"",IF(H35="Issue",IF(I35="High",WORKDAY(J35,2,#REF!),IF(I35="Medium",WORKDAY(J35,14,#REF!),IF(OR(I35="Low"),WORKDAY(J35,30,#REF!),""))),
"")
))</f>
        <v/>
      </c>
      <c r="O35" s="56" t="str">
        <f ca="1">IF(OR(ISBLANK(#REF!), M35="Completed", M35="Closed", H35&lt;&gt;"Issue"), "",
   ( NETWORKDAYS.INTL(TODAY(), N35, 1,#REF!) - 1))</f>
        <v/>
      </c>
      <c r="P35" s="65" t="str">
        <f t="shared" ca="1" si="1"/>
        <v/>
      </c>
      <c r="Q35" s="57" t="str">
        <f t="shared" ca="1" si="3"/>
        <v/>
      </c>
    </row>
    <row r="36" spans="1:17" x14ac:dyDescent="0.3">
      <c r="A36" s="53"/>
      <c r="B36" s="53"/>
      <c r="C36" s="53"/>
      <c r="D36" s="53"/>
      <c r="E36" s="53"/>
      <c r="F36" s="53"/>
      <c r="G36" s="53"/>
      <c r="H36" s="53"/>
      <c r="I36" s="53" t="s">
        <v>71</v>
      </c>
      <c r="J36" s="54"/>
      <c r="K36" s="59"/>
      <c r="L36" s="59"/>
      <c r="M36" s="53"/>
      <c r="N36" s="55" t="str">
        <f>IF(ISBLANK(J36),"",IF(OR(M36="Completed",M36="Closed"),"",IF(H36="Issue",IF(I36="High",WORKDAY(J36,2,#REF!),IF(I36="Medium",WORKDAY(J36,14,#REF!),IF(OR(I36="Low"),WORKDAY(J36,30,#REF!),""))),
"")
))</f>
        <v/>
      </c>
      <c r="O36" s="56" t="str">
        <f ca="1">IF(OR(ISBLANK(#REF!), M36="Completed", M36="Closed", H36&lt;&gt;"Issue"), "",
   ( NETWORKDAYS.INTL(TODAY(), N36, 1,#REF!) - 1))</f>
        <v/>
      </c>
      <c r="P36" s="65" t="str">
        <f t="shared" ca="1" si="1"/>
        <v/>
      </c>
      <c r="Q36" s="57" t="str">
        <f t="shared" ca="1" si="3"/>
        <v/>
      </c>
    </row>
    <row r="37" spans="1:17" x14ac:dyDescent="0.3">
      <c r="A37" s="53"/>
      <c r="B37" s="53"/>
      <c r="C37" s="53"/>
      <c r="D37" s="53"/>
      <c r="E37" s="53"/>
      <c r="F37" s="53"/>
      <c r="G37" s="53"/>
      <c r="H37" s="53"/>
      <c r="I37" s="53" t="s">
        <v>71</v>
      </c>
      <c r="J37" s="54"/>
      <c r="K37" s="54"/>
      <c r="L37" s="54"/>
      <c r="M37" s="53"/>
      <c r="N37" s="55" t="str">
        <f>IF(ISBLANK(J37),"",IF(OR(M37="Completed",M37="Closed"),"",IF(H37="Issue",IF(I37="High",WORKDAY(J37,2,#REF!),IF(I37="Medium",WORKDAY(J37,14,#REF!),IF(OR(I37="Low"),WORKDAY(J37,30,#REF!),""))),
"")
))</f>
        <v/>
      </c>
      <c r="O37" s="56" t="str">
        <f ca="1">IF(OR(ISBLANK(#REF!), M37="Completed", M37="Closed", H37&lt;&gt;"Issue"), "",
   ( NETWORKDAYS.INTL(TODAY(), N37, 1,#REF!) - 1))</f>
        <v/>
      </c>
      <c r="P37" s="65" t="str">
        <f t="shared" ca="1" si="1"/>
        <v/>
      </c>
      <c r="Q37" s="57" t="str">
        <f t="shared" ca="1" si="3"/>
        <v/>
      </c>
    </row>
    <row r="38" spans="1:17" x14ac:dyDescent="0.3">
      <c r="A38" s="53"/>
      <c r="B38" s="53"/>
      <c r="C38" s="53"/>
      <c r="D38" s="53"/>
      <c r="E38" s="53"/>
      <c r="F38" s="53"/>
      <c r="G38" s="53"/>
      <c r="H38" s="53"/>
      <c r="I38" s="53" t="s">
        <v>71</v>
      </c>
      <c r="J38" s="54"/>
      <c r="K38" s="54"/>
      <c r="L38" s="59"/>
      <c r="M38" s="53"/>
      <c r="N38" s="55" t="str">
        <f>IF(ISBLANK(J38),"",IF(OR(M38="Completed",M38="Closed"),"",IF(H38="Issue",IF(I38="High",WORKDAY(J38,2,#REF!),IF(I38="Medium",WORKDAY(J38,14,#REF!),IF(OR(I38="Low"),WORKDAY(J38,30,#REF!),""))),
"")
))</f>
        <v/>
      </c>
      <c r="O38" s="56" t="str">
        <f ca="1">IF(OR(ISBLANK(#REF!), M38="Completed", M38="Closed", H38&lt;&gt;"Issue"), "",
   ( NETWORKDAYS.INTL(TODAY(), N38, 1,#REF!) - 1))</f>
        <v/>
      </c>
      <c r="P38" s="65" t="str">
        <f t="shared" ca="1" si="1"/>
        <v/>
      </c>
      <c r="Q38" s="57" t="str">
        <f t="shared" ca="1" si="3"/>
        <v/>
      </c>
    </row>
    <row r="39" spans="1:17" x14ac:dyDescent="0.3">
      <c r="A39" s="53"/>
      <c r="B39" s="53"/>
      <c r="C39" s="53"/>
      <c r="D39" s="53"/>
      <c r="E39" s="53"/>
      <c r="F39" s="53"/>
      <c r="G39" s="53"/>
      <c r="H39" s="53"/>
      <c r="I39" s="53" t="s">
        <v>71</v>
      </c>
      <c r="J39" s="54"/>
      <c r="K39" s="59"/>
      <c r="L39" s="59"/>
      <c r="M39" s="53"/>
      <c r="N39" s="55" t="str">
        <f>IF(ISBLANK(J39),"",IF(OR(M39="Completed",M39="Closed"),"",IF(H39="Issue",IF(I39="High",WORKDAY(J39,2,#REF!),IF(I39="Medium",WORKDAY(J39,14,#REF!),IF(OR(I39="Low"),WORKDAY(J39,30,#REF!),""))),
"")
))</f>
        <v/>
      </c>
      <c r="O39" s="56" t="str">
        <f ca="1">IF(OR(ISBLANK(#REF!), M39="Completed", M39="Closed", H39&lt;&gt;"Issue"), "",
   ( NETWORKDAYS.INTL(TODAY(), N39, 1,#REF!) - 1))</f>
        <v/>
      </c>
      <c r="P39" s="65" t="str">
        <f t="shared" ca="1" si="1"/>
        <v/>
      </c>
      <c r="Q39" s="57" t="str">
        <f t="shared" ca="1" si="3"/>
        <v/>
      </c>
    </row>
    <row r="40" spans="1:17" x14ac:dyDescent="0.3">
      <c r="A40" s="53"/>
      <c r="B40" s="53"/>
      <c r="C40" s="53"/>
      <c r="D40" s="53"/>
      <c r="E40" s="53"/>
      <c r="F40" s="53"/>
      <c r="G40" s="53"/>
      <c r="H40" s="53"/>
      <c r="I40" s="53" t="s">
        <v>71</v>
      </c>
      <c r="J40" s="54"/>
      <c r="K40" s="59"/>
      <c r="L40" s="59"/>
      <c r="M40" s="53"/>
      <c r="N40" s="55" t="str">
        <f>IF(ISBLANK(J40),"",IF(OR(M40="Completed",M40="Closed"),"",IF(H40="Issue",IF(I40="High",WORKDAY(J40,2,#REF!),IF(I40="Medium",WORKDAY(J40,14,#REF!),IF(OR(I40="Low"),WORKDAY(J40,30,#REF!),""))),
"")
))</f>
        <v/>
      </c>
      <c r="O40" s="56" t="str">
        <f ca="1">IF(OR(ISBLANK(#REF!), M40="Completed", M40="Closed", H40&lt;&gt;"Issue"), "",
   ( NETWORKDAYS.INTL(TODAY(), N40, 1,#REF!) - 1))</f>
        <v/>
      </c>
      <c r="P40" s="65" t="str">
        <f t="shared" ca="1" si="1"/>
        <v/>
      </c>
      <c r="Q40" s="57" t="str">
        <f t="shared" ca="1" si="3"/>
        <v/>
      </c>
    </row>
    <row r="41" spans="1:17" x14ac:dyDescent="0.3">
      <c r="A41" s="53"/>
      <c r="B41" s="53"/>
      <c r="C41" s="53"/>
      <c r="D41" s="53"/>
      <c r="E41" s="53"/>
      <c r="F41" s="53"/>
      <c r="G41" s="53"/>
      <c r="H41" s="53"/>
      <c r="I41" s="53" t="s">
        <v>71</v>
      </c>
      <c r="J41" s="54"/>
      <c r="K41" s="59"/>
      <c r="L41" s="59"/>
      <c r="M41" s="53"/>
      <c r="N41" s="55" t="str">
        <f>IF(ISBLANK(J41),"",IF(OR(M41="Completed",M41="Closed"),"",IF(H41="Issue",IF(I41="High",WORKDAY(J41,2,#REF!),IF(I41="Medium",WORKDAY(J41,14,#REF!),IF(OR(I41="Low"),WORKDAY(J41,30,#REF!),""))),
"")
))</f>
        <v/>
      </c>
      <c r="O41" s="56" t="str">
        <f ca="1">IF(OR(ISBLANK(#REF!), M41="Completed", M41="Closed", H41&lt;&gt;"Issue"), "",
   ( NETWORKDAYS.INTL(TODAY(), N41, 1,#REF!) - 1))</f>
        <v/>
      </c>
      <c r="P41" s="65" t="str">
        <f t="shared" ca="1" si="1"/>
        <v/>
      </c>
      <c r="Q41" s="57" t="str">
        <f t="shared" ca="1" si="3"/>
        <v/>
      </c>
    </row>
    <row r="42" spans="1:17" x14ac:dyDescent="0.3">
      <c r="A42" s="53"/>
      <c r="B42" s="53"/>
      <c r="C42" s="53"/>
      <c r="D42" s="53"/>
      <c r="E42" s="53"/>
      <c r="F42" s="53"/>
      <c r="G42" s="53"/>
      <c r="H42" s="53"/>
      <c r="I42" s="53" t="s">
        <v>71</v>
      </c>
      <c r="J42" s="54"/>
      <c r="K42" s="59"/>
      <c r="L42" s="59"/>
      <c r="M42" s="53"/>
      <c r="N42" s="55" t="str">
        <f>IF(ISBLANK(J42),"",IF(OR(M42="Completed",M42="Closed"),"",IF(H42="Issue",IF(I42="High",WORKDAY(J42,2,#REF!),IF(I42="Medium",WORKDAY(J42,14,#REF!),IF(OR(I42="Low"),WORKDAY(J42,30,#REF!),""))),
"")
))</f>
        <v/>
      </c>
      <c r="O42" s="56" t="str">
        <f ca="1">IF(OR(ISBLANK(#REF!), M42="Completed", M42="Closed", H42&lt;&gt;"Issue"), "",
   ( NETWORKDAYS.INTL(TODAY(), N42, 1,#REF!) - 1))</f>
        <v/>
      </c>
      <c r="P42" s="65" t="str">
        <f t="shared" ca="1" si="1"/>
        <v/>
      </c>
      <c r="Q42" s="57" t="str">
        <f t="shared" ca="1" si="3"/>
        <v/>
      </c>
    </row>
    <row r="43" spans="1:17" x14ac:dyDescent="0.3">
      <c r="A43" s="53"/>
      <c r="B43" s="53"/>
      <c r="C43" s="53"/>
      <c r="D43" s="53"/>
      <c r="E43" s="53"/>
      <c r="F43" s="53"/>
      <c r="G43" s="53"/>
      <c r="H43" s="53"/>
      <c r="I43" s="53" t="s">
        <v>71</v>
      </c>
      <c r="J43" s="54"/>
      <c r="K43" s="54"/>
      <c r="L43" s="54"/>
      <c r="M43" s="53"/>
      <c r="N43" s="55" t="str">
        <f>IF(ISBLANK(J43),"",IF(OR(M43="Completed",M43="Closed"),"",IF(H43="Issue",IF(I43="High",WORKDAY(J43,2,#REF!),IF(I43="Medium",WORKDAY(J43,14,#REF!),IF(OR(I43="Low"),WORKDAY(J43,30,#REF!),""))),
"")
))</f>
        <v/>
      </c>
      <c r="O43" s="56" t="str">
        <f ca="1">IF(OR(ISBLANK(#REF!), M43="Completed", M43="Closed", H43&lt;&gt;"Issue"), "",
   ( NETWORKDAYS.INTL(TODAY(), N43, 1,#REF!) - 1))</f>
        <v/>
      </c>
      <c r="P43" s="65" t="str">
        <f t="shared" ca="1" si="1"/>
        <v/>
      </c>
      <c r="Q43" s="57" t="str">
        <f t="shared" ca="1" si="3"/>
        <v/>
      </c>
    </row>
    <row r="44" spans="1:17" x14ac:dyDescent="0.3">
      <c r="A44" s="53"/>
      <c r="B44" s="53"/>
      <c r="C44" s="53"/>
      <c r="D44" s="53"/>
      <c r="E44" s="53"/>
      <c r="F44" s="53"/>
      <c r="G44" s="53"/>
      <c r="H44" s="53"/>
      <c r="I44" s="53" t="s">
        <v>71</v>
      </c>
      <c r="J44" s="54"/>
      <c r="K44" s="59"/>
      <c r="L44" s="59"/>
      <c r="M44" s="53"/>
      <c r="N44" s="55" t="str">
        <f>IF(ISBLANK(J44),"",IF(OR(M44="Completed",M44="Closed"),"",IF(H44="Issue",IF(I44="High",WORKDAY(J44,2,#REF!),IF(I44="Medium",WORKDAY(J44,14,#REF!),IF(OR(I44="Low"),WORKDAY(J44,30,#REF!),""))),
"")
))</f>
        <v/>
      </c>
      <c r="O44" s="56" t="str">
        <f ca="1">IF(OR(ISBLANK(#REF!), M44="Completed", M44="Closed", H44&lt;&gt;"Issue"), "",
   ( NETWORKDAYS.INTL(TODAY(), N44, 1,#REF!) - 1))</f>
        <v/>
      </c>
      <c r="P44" s="65" t="str">
        <f t="shared" ca="1" si="1"/>
        <v/>
      </c>
      <c r="Q44" s="57" t="str">
        <f t="shared" ca="1" si="3"/>
        <v/>
      </c>
    </row>
    <row r="45" spans="1:17" x14ac:dyDescent="0.3">
      <c r="A45" s="53"/>
      <c r="B45" s="53"/>
      <c r="C45" s="53"/>
      <c r="D45" s="53"/>
      <c r="E45" s="53"/>
      <c r="F45" s="53"/>
      <c r="G45" s="53"/>
      <c r="H45" s="53"/>
      <c r="I45" s="53" t="s">
        <v>71</v>
      </c>
      <c r="J45" s="54"/>
      <c r="K45" s="54"/>
      <c r="L45" s="54"/>
      <c r="M45" s="53"/>
      <c r="N45" s="55" t="str">
        <f>IF(ISBLANK(J45),"",IF(OR(M45="Completed",M45="Closed"),"",IF(H45="Issue",IF(I45="High",WORKDAY(J45,2,#REF!),IF(I45="Medium",WORKDAY(J45,14,#REF!),IF(OR(I45="Low"),WORKDAY(J45,30,#REF!),""))),
"")
))</f>
        <v/>
      </c>
      <c r="O45" s="56" t="str">
        <f ca="1">IF(OR(ISBLANK(#REF!), M45="Completed", M45="Closed", H45&lt;&gt;"Issue"), "",
   ( NETWORKDAYS.INTL(TODAY(), N45, 1,#REF!) - 1))</f>
        <v/>
      </c>
      <c r="P45" s="65" t="str">
        <f t="shared" ca="1" si="1"/>
        <v/>
      </c>
      <c r="Q45" s="57" t="str">
        <f t="shared" ca="1" si="3"/>
        <v/>
      </c>
    </row>
    <row r="46" spans="1:17" x14ac:dyDescent="0.3">
      <c r="A46" s="53"/>
      <c r="B46" s="53"/>
      <c r="C46" s="53"/>
      <c r="D46" s="53"/>
      <c r="E46" s="53"/>
      <c r="F46" s="53"/>
      <c r="G46" s="53"/>
      <c r="H46" s="53"/>
      <c r="I46" s="53" t="s">
        <v>71</v>
      </c>
      <c r="J46" s="54"/>
      <c r="K46" s="54"/>
      <c r="L46" s="54"/>
      <c r="M46" s="53"/>
      <c r="N46" s="55" t="str">
        <f>IF(ISBLANK(J46),"",IF(OR(M46="Completed",M46="Closed"),"",IF(H46="Issue",IF(I46="High",WORKDAY(J46,2,#REF!),IF(I46="Medium",WORKDAY(J46,14,#REF!),IF(OR(I46="Low"),WORKDAY(J46,30,#REF!),""))),
"")
))</f>
        <v/>
      </c>
      <c r="O46" s="56" t="str">
        <f ca="1">IF(OR(ISBLANK(#REF!), M46="Completed", M46="Closed", H46&lt;&gt;"Issue"), "",
   ( NETWORKDAYS.INTL(TODAY(), N46, 1,#REF!) - 1))</f>
        <v/>
      </c>
      <c r="P46" s="65" t="str">
        <f t="shared" ca="1" si="1"/>
        <v/>
      </c>
      <c r="Q46" s="57" t="str">
        <f t="shared" ca="1" si="3"/>
        <v/>
      </c>
    </row>
    <row r="47" spans="1:17" x14ac:dyDescent="0.3">
      <c r="A47" s="53"/>
      <c r="B47" s="53"/>
      <c r="C47" s="53"/>
      <c r="D47" s="53"/>
      <c r="E47" s="53"/>
      <c r="F47" s="53"/>
      <c r="G47" s="53"/>
      <c r="H47" s="53"/>
      <c r="I47" s="53" t="s">
        <v>71</v>
      </c>
      <c r="J47" s="54"/>
      <c r="K47" s="59"/>
      <c r="L47" s="59"/>
      <c r="M47" s="53"/>
      <c r="N47" s="55" t="str">
        <f>IF(ISBLANK(J47),"",IF(OR(M47="Completed",M47="Closed"),"",IF(H47="Issue",IF(I47="High",WORKDAY(J47,2,#REF!),IF(I47="Medium",WORKDAY(J47,14,#REF!),IF(OR(I47="Low"),WORKDAY(J47,30,#REF!),""))),
"")
))</f>
        <v/>
      </c>
      <c r="O47" s="56" t="str">
        <f ca="1">IF(OR(ISBLANK(#REF!), M47="Completed", M47="Closed", H47&lt;&gt;"Issue"), "",
   ( NETWORKDAYS.INTL(TODAY(), N47, 1,#REF!) - 1))</f>
        <v/>
      </c>
      <c r="P47" s="65" t="str">
        <f t="shared" ca="1" si="1"/>
        <v/>
      </c>
      <c r="Q47" s="57" t="str">
        <f t="shared" ca="1" si="3"/>
        <v/>
      </c>
    </row>
    <row r="48" spans="1:17" x14ac:dyDescent="0.3">
      <c r="A48" s="53"/>
      <c r="B48" s="53"/>
      <c r="C48" s="53"/>
      <c r="D48" s="53"/>
      <c r="E48" s="53"/>
      <c r="F48" s="53"/>
      <c r="G48" s="53"/>
      <c r="H48" s="53"/>
      <c r="I48" s="53" t="s">
        <v>71</v>
      </c>
      <c r="J48" s="54"/>
      <c r="K48" s="59"/>
      <c r="L48" s="59"/>
      <c r="M48" s="53"/>
      <c r="N48" s="55" t="str">
        <f>IF(ISBLANK(J48),"",IF(OR(M48="Completed",M48="Closed"),"",IF(H48="Issue",IF(I48="High",WORKDAY(J48,2,#REF!),IF(I48="Medium",WORKDAY(J48,14,#REF!),IF(OR(I48="Low"),WORKDAY(J48,30,#REF!),""))),
"")
))</f>
        <v/>
      </c>
      <c r="O48" s="56" t="str">
        <f ca="1">IF(OR(ISBLANK(#REF!), M48="Completed", M48="Closed", H48&lt;&gt;"Issue"), "",
   ( NETWORKDAYS.INTL(TODAY(), N48, 1,#REF!) - 1))</f>
        <v/>
      </c>
      <c r="P48" s="65" t="str">
        <f t="shared" ca="1" si="1"/>
        <v/>
      </c>
      <c r="Q48" s="57" t="str">
        <f t="shared" ca="1" si="3"/>
        <v/>
      </c>
    </row>
    <row r="49" spans="1:17" x14ac:dyDescent="0.3">
      <c r="A49" s="53"/>
      <c r="B49" s="53"/>
      <c r="C49" s="53"/>
      <c r="D49" s="53"/>
      <c r="E49" s="53"/>
      <c r="F49" s="53"/>
      <c r="G49" s="53"/>
      <c r="H49" s="53"/>
      <c r="I49" s="53" t="s">
        <v>71</v>
      </c>
      <c r="J49" s="54"/>
      <c r="K49" s="54"/>
      <c r="L49" s="54"/>
      <c r="M49" s="53"/>
      <c r="N49" s="55" t="str">
        <f>IF(ISBLANK(J49),"",IF(OR(M49="Completed",M49="Closed"),"",IF(H49="Issue",IF(I49="High",WORKDAY(J49,2,#REF!),IF(I49="Medium",WORKDAY(J49,14,#REF!),IF(OR(I49="Low"),WORKDAY(J49,30,#REF!),""))),
"")
))</f>
        <v/>
      </c>
      <c r="O49" s="56" t="str">
        <f ca="1">IF(OR(ISBLANK(#REF!), M49="Completed", M49="Closed", H49&lt;&gt;"Issue"), "",
   ( NETWORKDAYS.INTL(TODAY(), N49, 1,#REF!) - 1))</f>
        <v/>
      </c>
      <c r="P49" s="65" t="str">
        <f t="shared" ca="1" si="1"/>
        <v/>
      </c>
      <c r="Q49" s="57" t="str">
        <f t="shared" ca="1" si="3"/>
        <v/>
      </c>
    </row>
    <row r="50" spans="1:17" x14ac:dyDescent="0.3">
      <c r="A50" s="53"/>
      <c r="B50" s="53"/>
      <c r="C50" s="53"/>
      <c r="D50" s="53"/>
      <c r="E50" s="53"/>
      <c r="F50" s="53"/>
      <c r="G50" s="53"/>
      <c r="H50" s="53"/>
      <c r="I50" s="53" t="s">
        <v>71</v>
      </c>
      <c r="J50" s="54"/>
      <c r="K50" s="54"/>
      <c r="L50" s="54"/>
      <c r="M50" s="53"/>
      <c r="N50" s="55" t="str">
        <f>IF(ISBLANK(J50),"",IF(OR(M50="Completed",M50="Closed"),"",IF(H50="Issue",IF(I50="High",WORKDAY(J50,2,#REF!),IF(I50="Medium",WORKDAY(J50,14,#REF!),IF(OR(I50="Low"),WORKDAY(J50,30,#REF!),""))),
"")
))</f>
        <v/>
      </c>
      <c r="O50" s="56" t="str">
        <f ca="1">IF(OR(ISBLANK(#REF!), M50="Completed", M50="Closed", H50&lt;&gt;"Issue"), "",
   ( NETWORKDAYS.INTL(TODAY(), N50, 1,#REF!) - 1))</f>
        <v/>
      </c>
      <c r="P50" s="65" t="str">
        <f t="shared" ca="1" si="1"/>
        <v/>
      </c>
      <c r="Q50" s="57" t="str">
        <f t="shared" ca="1" si="3"/>
        <v/>
      </c>
    </row>
    <row r="51" spans="1:17" x14ac:dyDescent="0.3">
      <c r="A51" s="53"/>
      <c r="B51" s="53"/>
      <c r="C51" s="53"/>
      <c r="D51" s="53"/>
      <c r="E51" s="53"/>
      <c r="F51" s="53"/>
      <c r="G51" s="53"/>
      <c r="H51" s="53"/>
      <c r="I51" s="53" t="s">
        <v>71</v>
      </c>
      <c r="J51" s="54"/>
      <c r="K51" s="54"/>
      <c r="L51" s="54"/>
      <c r="M51" s="53"/>
      <c r="N51" s="55" t="str">
        <f>IF(ISBLANK(J51),"",IF(OR(M51="Completed",M51="Closed"),"",IF(H51="Issue",IF(I51="High",WORKDAY(J51,2,#REF!),IF(I51="Medium",WORKDAY(J51,14,#REF!),IF(OR(I51="Low"),WORKDAY(J51,30,#REF!),""))),
"")
))</f>
        <v/>
      </c>
      <c r="O51" s="56" t="str">
        <f ca="1">IF(OR(ISBLANK(#REF!), M51="Completed", M51="Closed", H51&lt;&gt;"Issue"), "",
   ( NETWORKDAYS.INTL(TODAY(), N51, 1,#REF!) - 1))</f>
        <v/>
      </c>
      <c r="P51" s="65" t="str">
        <f t="shared" ca="1" si="1"/>
        <v/>
      </c>
      <c r="Q51" s="57" t="str">
        <f t="shared" ca="1" si="3"/>
        <v/>
      </c>
    </row>
    <row r="52" spans="1:17" x14ac:dyDescent="0.3">
      <c r="A52" s="53"/>
      <c r="B52" s="53"/>
      <c r="C52" s="53"/>
      <c r="D52" s="53"/>
      <c r="E52" s="53"/>
      <c r="F52" s="53"/>
      <c r="G52" s="53"/>
      <c r="H52" s="53"/>
      <c r="I52" s="53" t="s">
        <v>71</v>
      </c>
      <c r="J52" s="54"/>
      <c r="K52" s="54"/>
      <c r="L52" s="54"/>
      <c r="M52" s="53"/>
      <c r="N52" s="55" t="str">
        <f>IF(ISBLANK(J52),"",IF(OR(M52="Completed",M52="Closed"),"",IF(H52="Issue",IF(I52="High",WORKDAY(J52,2,#REF!),IF(I52="Medium",WORKDAY(J52,14,#REF!),IF(OR(I52="Low"),WORKDAY(J52,30,#REF!),""))),
"")
))</f>
        <v/>
      </c>
      <c r="O52" s="56" t="str">
        <f ca="1">IF(OR(ISBLANK(#REF!), M52="Completed", M52="Closed", H52&lt;&gt;"Issue"), "",
   ( NETWORKDAYS.INTL(TODAY(), N52, 1,#REF!) - 1))</f>
        <v/>
      </c>
      <c r="P52" s="65" t="str">
        <f t="shared" ca="1" si="1"/>
        <v/>
      </c>
      <c r="Q52" s="57" t="str">
        <f t="shared" ca="1" si="3"/>
        <v/>
      </c>
    </row>
    <row r="53" spans="1:17" x14ac:dyDescent="0.3">
      <c r="A53" s="53"/>
      <c r="B53" s="53"/>
      <c r="C53" s="53"/>
      <c r="D53" s="53"/>
      <c r="E53" s="53"/>
      <c r="F53" s="53"/>
      <c r="G53" s="53"/>
      <c r="H53" s="53"/>
      <c r="I53" s="53" t="s">
        <v>71</v>
      </c>
      <c r="J53" s="54"/>
      <c r="K53" s="59"/>
      <c r="L53" s="59"/>
      <c r="M53" s="53"/>
      <c r="N53" s="55" t="str">
        <f>IF(ISBLANK(J53),"",IF(OR(M53="Completed",M53="Closed"),"",IF(H53="Issue",IF(I53="High",WORKDAY(J53,2,#REF!),IF(I53="Medium",WORKDAY(J53,14,#REF!),IF(OR(I53="Low"),WORKDAY(J53,30,#REF!),""))),
"")
))</f>
        <v/>
      </c>
      <c r="O53" s="56" t="str">
        <f ca="1">IF(OR(ISBLANK(#REF!), M53="Completed", M53="Closed", H53&lt;&gt;"Issue"), "",
   ( NETWORKDAYS.INTL(TODAY(), N53, 1,#REF!) - 1))</f>
        <v/>
      </c>
      <c r="P53" s="65" t="str">
        <f t="shared" ca="1" si="1"/>
        <v/>
      </c>
      <c r="Q53" s="57" t="str">
        <f t="shared" ca="1" si="3"/>
        <v/>
      </c>
    </row>
    <row r="54" spans="1:17" x14ac:dyDescent="0.3">
      <c r="A54" s="53"/>
      <c r="B54" s="53"/>
      <c r="C54" s="53"/>
      <c r="D54" s="53"/>
      <c r="E54" s="53"/>
      <c r="F54" s="53"/>
      <c r="G54" s="53"/>
      <c r="H54" s="53"/>
      <c r="I54" s="53" t="s">
        <v>71</v>
      </c>
      <c r="J54" s="54"/>
      <c r="K54" s="54"/>
      <c r="L54" s="54"/>
      <c r="M54" s="53"/>
      <c r="N54" s="55" t="str">
        <f>IF(ISBLANK(J54),"",IF(OR(M54="Completed",M54="Closed"),"",IF(H54="Issue",IF(I54="High",WORKDAY(J54,2,#REF!),IF(I54="Medium",WORKDAY(J54,14,#REF!),IF(OR(I54="Low"),WORKDAY(J54,30,#REF!),""))),
"")
))</f>
        <v/>
      </c>
      <c r="O54" s="56" t="str">
        <f ca="1">IF(OR(ISBLANK(#REF!), M54="Completed", M54="Closed", H54&lt;&gt;"Issue"), "",
   ( NETWORKDAYS.INTL(TODAY(), N54, 1,#REF!) - 1))</f>
        <v/>
      </c>
      <c r="P54" s="65" t="str">
        <f t="shared" ca="1" si="1"/>
        <v/>
      </c>
      <c r="Q54" s="57" t="str">
        <f t="shared" ca="1" si="3"/>
        <v/>
      </c>
    </row>
    <row r="55" spans="1:17" x14ac:dyDescent="0.3">
      <c r="A55" s="53"/>
      <c r="B55" s="53"/>
      <c r="C55" s="53"/>
      <c r="D55" s="53"/>
      <c r="E55" s="53"/>
      <c r="F55" s="53"/>
      <c r="G55" s="53"/>
      <c r="H55" s="53"/>
      <c r="I55" s="53" t="s">
        <v>71</v>
      </c>
      <c r="J55" s="54"/>
      <c r="K55" s="59"/>
      <c r="L55" s="59"/>
      <c r="M55" s="53"/>
      <c r="N55" s="55" t="str">
        <f>IF(ISBLANK(J55),"",IF(OR(M55="Completed",M55="Closed"),"",IF(H55="Issue",IF(I55="High",WORKDAY(J55,2,#REF!),IF(I55="Medium",WORKDAY(J55,14,#REF!),IF(OR(I55="Low"),WORKDAY(J55,30,#REF!),""))),
"")
))</f>
        <v/>
      </c>
      <c r="O55" s="56" t="str">
        <f ca="1">IF(OR(ISBLANK(#REF!), M55="Completed", M55="Closed", H55&lt;&gt;"Issue"), "",
   ( NETWORKDAYS.INTL(TODAY(), N55, 1,#REF!) - 1))</f>
        <v/>
      </c>
      <c r="P55" s="65" t="str">
        <f t="shared" ca="1" si="1"/>
        <v/>
      </c>
      <c r="Q55" s="57" t="str">
        <f t="shared" ca="1" si="3"/>
        <v/>
      </c>
    </row>
    <row r="56" spans="1:17" x14ac:dyDescent="0.3">
      <c r="A56" s="53"/>
      <c r="B56" s="53"/>
      <c r="C56" s="53"/>
      <c r="D56" s="53"/>
      <c r="E56" s="53"/>
      <c r="F56" s="53"/>
      <c r="G56" s="53"/>
      <c r="H56" s="53"/>
      <c r="I56" s="53" t="s">
        <v>71</v>
      </c>
      <c r="J56" s="54"/>
      <c r="K56" s="59"/>
      <c r="L56" s="59"/>
      <c r="M56" s="53"/>
      <c r="N56" s="55" t="str">
        <f>IF(ISBLANK(J56),"",IF(OR(M56="Completed",M56="Closed"),"",IF(H56="Issue",IF(I56="High",WORKDAY(J56,2,#REF!),IF(I56="Medium",WORKDAY(J56,14,#REF!),IF(OR(I56="Low"),WORKDAY(J56,30,#REF!),""))),
"")
))</f>
        <v/>
      </c>
      <c r="O56" s="56" t="str">
        <f ca="1">IF(OR(ISBLANK(#REF!), M56="Completed", M56="Closed", H56&lt;&gt;"Issue"), "",
   ( NETWORKDAYS.INTL(TODAY(), N56, 1,#REF!) - 1))</f>
        <v/>
      </c>
      <c r="P56" s="65" t="str">
        <f t="shared" ca="1" si="1"/>
        <v/>
      </c>
      <c r="Q56" s="57" t="str">
        <f t="shared" ca="1" si="3"/>
        <v/>
      </c>
    </row>
    <row r="57" spans="1:17" x14ac:dyDescent="0.3">
      <c r="A57" s="53"/>
      <c r="B57" s="53"/>
      <c r="C57" s="53"/>
      <c r="D57" s="53"/>
      <c r="E57" s="53"/>
      <c r="F57" s="53"/>
      <c r="G57" s="53"/>
      <c r="H57" s="53"/>
      <c r="I57" s="53" t="s">
        <v>71</v>
      </c>
      <c r="J57" s="54"/>
      <c r="K57" s="59"/>
      <c r="L57" s="59"/>
      <c r="M57" s="53"/>
      <c r="N57" s="55" t="str">
        <f>IF(ISBLANK(J57),"",IF(OR(M57="Completed",M57="Closed"),"",IF(H57="Issue",IF(I57="High",WORKDAY(J57,2,#REF!),IF(I57="Medium",WORKDAY(J57,14,#REF!),IF(OR(I57="Low"),WORKDAY(J57,30,#REF!),""))),
"")
))</f>
        <v/>
      </c>
      <c r="O57" s="56" t="str">
        <f ca="1">IF(OR(ISBLANK(#REF!), M57="Completed", M57="Closed", H57&lt;&gt;"Issue"), "",
   ( NETWORKDAYS.INTL(TODAY(), N57, 1,#REF!) - 1))</f>
        <v/>
      </c>
      <c r="P57" s="65" t="str">
        <f t="shared" ca="1" si="1"/>
        <v/>
      </c>
      <c r="Q57" s="57" t="str">
        <f t="shared" ca="1" si="3"/>
        <v/>
      </c>
    </row>
    <row r="58" spans="1:17" x14ac:dyDescent="0.3">
      <c r="A58" s="53"/>
      <c r="B58" s="53"/>
      <c r="C58" s="53"/>
      <c r="D58" s="53"/>
      <c r="E58" s="53"/>
      <c r="F58" s="53"/>
      <c r="G58" s="53"/>
      <c r="H58" s="53"/>
      <c r="I58" s="53" t="s">
        <v>71</v>
      </c>
      <c r="J58" s="54"/>
      <c r="K58" s="54"/>
      <c r="L58" s="54"/>
      <c r="M58" s="53"/>
      <c r="N58" s="55" t="str">
        <f>IF(ISBLANK(J58),"",IF(OR(M58="Completed",M58="Closed"),"",IF(H58="Issue",IF(I58="High",WORKDAY(J58,2,#REF!),IF(I58="Medium",WORKDAY(J58,14,#REF!),IF(OR(I58="Low"),WORKDAY(J58,30,#REF!),""))),
"")
))</f>
        <v/>
      </c>
      <c r="O58" s="56" t="str">
        <f ca="1">IF(OR(ISBLANK(#REF!), M58="Completed", M58="Closed", H58&lt;&gt;"Issue"), "",
   ( NETWORKDAYS.INTL(TODAY(), N58, 1,#REF!) - 1))</f>
        <v/>
      </c>
      <c r="P58" s="65" t="str">
        <f t="shared" ca="1" si="1"/>
        <v/>
      </c>
      <c r="Q58" s="57" t="str">
        <f t="shared" ca="1" si="3"/>
        <v/>
      </c>
    </row>
    <row r="59" spans="1:17" x14ac:dyDescent="0.3">
      <c r="A59" s="53"/>
      <c r="B59" s="53"/>
      <c r="C59" s="53"/>
      <c r="D59" s="53"/>
      <c r="E59" s="53"/>
      <c r="F59" s="53"/>
      <c r="G59" s="53"/>
      <c r="H59" s="53"/>
      <c r="I59" s="53" t="s">
        <v>71</v>
      </c>
      <c r="J59" s="54"/>
      <c r="K59" s="54"/>
      <c r="L59" s="59"/>
      <c r="M59" s="53"/>
      <c r="N59" s="55" t="str">
        <f>IF(ISBLANK(J59),"",IF(OR(M59="Completed",M59="Closed"),"",IF(H59="Issue",IF(I59="High",WORKDAY(J59,2,#REF!),IF(I59="Medium",WORKDAY(J59,14,#REF!),IF(OR(I59="Low"),WORKDAY(J59,30,#REF!),""))),
"")
))</f>
        <v/>
      </c>
      <c r="O59" s="56" t="str">
        <f ca="1">IF(OR(ISBLANK(#REF!), M59="Completed", M59="Closed", H59&lt;&gt;"Issue"), "",
   ( NETWORKDAYS.INTL(TODAY(), N59, 1,#REF!) - 1))</f>
        <v/>
      </c>
      <c r="P59" s="65" t="str">
        <f t="shared" ca="1" si="1"/>
        <v/>
      </c>
      <c r="Q59" s="57" t="str">
        <f t="shared" ca="1" si="3"/>
        <v/>
      </c>
    </row>
    <row r="60" spans="1:17" x14ac:dyDescent="0.3">
      <c r="A60" s="53"/>
      <c r="B60" s="53"/>
      <c r="C60" s="53"/>
      <c r="D60" s="53"/>
      <c r="E60" s="53"/>
      <c r="F60" s="53"/>
      <c r="G60" s="53"/>
      <c r="H60" s="53"/>
      <c r="I60" s="53" t="s">
        <v>71</v>
      </c>
      <c r="J60" s="54"/>
      <c r="K60" s="59"/>
      <c r="L60" s="59"/>
      <c r="M60" s="53"/>
      <c r="N60" s="55" t="str">
        <f>IF(ISBLANK(J60),"",IF(OR(M60="Completed",M60="Closed"),"",IF(H60="Issue",IF(I60="High",WORKDAY(J60,2,#REF!),IF(I60="Medium",WORKDAY(J60,14,#REF!),IF(OR(I60="Low"),WORKDAY(J60,30,#REF!),""))),
"")
))</f>
        <v/>
      </c>
      <c r="O60" s="56" t="str">
        <f ca="1">IF(OR(ISBLANK(#REF!), M60="Completed", M60="Closed", H60&lt;&gt;"Issue"), "",
   ( NETWORKDAYS.INTL(TODAY(), N60, 1,#REF!) - 1))</f>
        <v/>
      </c>
      <c r="P60" s="65" t="str">
        <f t="shared" ca="1" si="1"/>
        <v/>
      </c>
      <c r="Q60" s="57" t="str">
        <f t="shared" ca="1" si="3"/>
        <v/>
      </c>
    </row>
    <row r="61" spans="1:17" x14ac:dyDescent="0.3">
      <c r="A61" s="53"/>
      <c r="B61" s="53"/>
      <c r="C61" s="53"/>
      <c r="D61" s="53"/>
      <c r="E61" s="53"/>
      <c r="F61" s="53"/>
      <c r="G61" s="53"/>
      <c r="H61" s="53"/>
      <c r="I61" s="53" t="s">
        <v>71</v>
      </c>
      <c r="J61" s="54"/>
      <c r="K61" s="59"/>
      <c r="L61" s="59"/>
      <c r="M61" s="53"/>
      <c r="N61" s="55" t="str">
        <f>IF(ISBLANK(J61),"",IF(OR(M61="Completed",M61="Closed"),"",IF(H61="Issue",IF(I61="High",WORKDAY(J61,2,#REF!),IF(I61="Medium",WORKDAY(J61,14,#REF!),IF(OR(I61="Low"),WORKDAY(J61,30,#REF!),""))),
"")
))</f>
        <v/>
      </c>
      <c r="O61" s="56" t="str">
        <f ca="1">IF(OR(ISBLANK(#REF!), M61="Completed", M61="Closed", H61&lt;&gt;"Issue"), "",
   ( NETWORKDAYS.INTL(TODAY(), N61, 1,#REF!) - 1))</f>
        <v/>
      </c>
      <c r="P61" s="65" t="str">
        <f t="shared" ca="1" si="1"/>
        <v/>
      </c>
      <c r="Q61" s="57" t="str">
        <f t="shared" ca="1" si="3"/>
        <v/>
      </c>
    </row>
    <row r="62" spans="1:17" x14ac:dyDescent="0.3">
      <c r="A62" s="53"/>
      <c r="B62" s="53"/>
      <c r="C62" s="53"/>
      <c r="D62" s="53"/>
      <c r="E62" s="53"/>
      <c r="F62" s="53"/>
      <c r="G62" s="53"/>
      <c r="H62" s="53"/>
      <c r="I62" s="53" t="s">
        <v>71</v>
      </c>
      <c r="J62" s="54"/>
      <c r="K62" s="54"/>
      <c r="L62" s="54"/>
      <c r="M62" s="53"/>
      <c r="N62" s="55" t="str">
        <f>IF(ISBLANK(J62),"",IF(OR(M62="Completed",M62="Closed"),"",IF(H62="Issue",IF(I62="High",WORKDAY(J62,2,#REF!),IF(I62="Medium",WORKDAY(J62,14,#REF!),IF(OR(I62="Low"),WORKDAY(J62,30,#REF!),""))),
"")
))</f>
        <v/>
      </c>
      <c r="O62" s="56" t="str">
        <f ca="1">IF(OR(ISBLANK(#REF!), M62="Completed", M62="Closed", H62&lt;&gt;"Issue"), "",
   ( NETWORKDAYS.INTL(TODAY(), N62, 1,#REF!) - 1))</f>
        <v/>
      </c>
      <c r="P62" s="65" t="str">
        <f t="shared" ca="1" si="1"/>
        <v/>
      </c>
      <c r="Q62" s="57" t="str">
        <f t="shared" ca="1" si="3"/>
        <v/>
      </c>
    </row>
    <row r="63" spans="1:17" x14ac:dyDescent="0.3">
      <c r="A63" s="53"/>
      <c r="B63" s="53"/>
      <c r="C63" s="53"/>
      <c r="D63" s="53"/>
      <c r="E63" s="53"/>
      <c r="F63" s="53"/>
      <c r="G63" s="53"/>
      <c r="H63" s="53"/>
      <c r="I63" s="53" t="s">
        <v>71</v>
      </c>
      <c r="J63" s="54"/>
      <c r="K63" s="59"/>
      <c r="L63" s="59"/>
      <c r="M63" s="53"/>
      <c r="N63" s="55" t="str">
        <f>IF(ISBLANK(J63),"",IF(OR(M63="Completed",M63="Closed"),"",IF(H63="Issue",IF(I63="High",WORKDAY(J63,2,#REF!),IF(I63="Medium",WORKDAY(J63,14,#REF!),IF(OR(I63="Low"),WORKDAY(J63,30,#REF!),""))),
"")
))</f>
        <v/>
      </c>
      <c r="O63" s="56" t="str">
        <f ca="1">IF(OR(ISBLANK(#REF!), M63="Completed", M63="Closed", H63&lt;&gt;"Issue"), "",
   ( NETWORKDAYS.INTL(TODAY(), N63, 1,#REF!) - 1))</f>
        <v/>
      </c>
      <c r="P63" s="65" t="str">
        <f t="shared" ca="1" si="1"/>
        <v/>
      </c>
      <c r="Q63" s="57" t="str">
        <f t="shared" ca="1" si="3"/>
        <v/>
      </c>
    </row>
    <row r="64" spans="1:17" x14ac:dyDescent="0.3">
      <c r="A64" s="53"/>
      <c r="B64" s="53"/>
      <c r="C64" s="53"/>
      <c r="D64" s="53"/>
      <c r="E64" s="53"/>
      <c r="F64" s="53"/>
      <c r="G64" s="53"/>
      <c r="H64" s="53"/>
      <c r="I64" s="53" t="s">
        <v>71</v>
      </c>
      <c r="J64" s="54"/>
      <c r="K64" s="59"/>
      <c r="L64" s="59"/>
      <c r="M64" s="53"/>
      <c r="N64" s="55" t="str">
        <f>IF(ISBLANK(J64),"",IF(OR(M64="Completed",M64="Closed"),"",IF(H64="Issue",IF(I64="High",WORKDAY(J64,2,#REF!),IF(I64="Medium",WORKDAY(J64,14,#REF!),IF(OR(I64="Low"),WORKDAY(J64,30,#REF!),""))),
"")
))</f>
        <v/>
      </c>
      <c r="O64" s="56" t="str">
        <f ca="1">IF(OR(ISBLANK(#REF!), M64="Completed", M64="Closed", H64&lt;&gt;"Issue"), "",
   ( NETWORKDAYS.INTL(TODAY(), N64, 1,#REF!) - 1))</f>
        <v/>
      </c>
      <c r="P64" s="65" t="str">
        <f t="shared" ca="1" si="1"/>
        <v/>
      </c>
      <c r="Q64" s="57" t="str">
        <f t="shared" ca="1" si="3"/>
        <v/>
      </c>
    </row>
    <row r="65" spans="1:17" x14ac:dyDescent="0.3">
      <c r="A65" s="53"/>
      <c r="B65" s="53"/>
      <c r="C65" s="53"/>
      <c r="D65" s="53"/>
      <c r="E65" s="53"/>
      <c r="F65" s="53"/>
      <c r="G65" s="53"/>
      <c r="H65" s="53"/>
      <c r="I65" s="53" t="s">
        <v>71</v>
      </c>
      <c r="J65" s="54"/>
      <c r="K65" s="54"/>
      <c r="L65" s="54"/>
      <c r="M65" s="53"/>
      <c r="N65" s="55" t="str">
        <f>IF(ISBLANK(J65),"",IF(OR(M65="Completed",M65="Closed"),"",IF(H65="Issue",IF(I65="High",WORKDAY(J65,2,#REF!),IF(I65="Medium",WORKDAY(J65,14,#REF!),IF(OR(I65="Low"),WORKDAY(J65,30,#REF!),""))),
"")
))</f>
        <v/>
      </c>
      <c r="O65" s="56" t="str">
        <f ca="1">IF(OR(ISBLANK(#REF!), M65="Completed", M65="Closed", H65&lt;&gt;"Issue"), "",
   ( NETWORKDAYS.INTL(TODAY(), N65, 1,#REF!) - 1))</f>
        <v/>
      </c>
      <c r="P65" s="65" t="str">
        <f t="shared" ca="1" si="1"/>
        <v/>
      </c>
      <c r="Q65" s="57" t="str">
        <f t="shared" ca="1" si="3"/>
        <v/>
      </c>
    </row>
    <row r="66" spans="1:17" x14ac:dyDescent="0.3">
      <c r="A66" s="53"/>
      <c r="B66" s="53"/>
      <c r="C66" s="53"/>
      <c r="D66" s="53"/>
      <c r="E66" s="53"/>
      <c r="F66" s="53"/>
      <c r="G66" s="53"/>
      <c r="H66" s="53"/>
      <c r="I66" s="53" t="s">
        <v>71</v>
      </c>
      <c r="J66" s="54"/>
      <c r="K66" s="59"/>
      <c r="L66" s="59"/>
      <c r="M66" s="53"/>
      <c r="N66" s="55" t="str">
        <f>IF(ISBLANK(J66),"",IF(OR(M66="Completed",M66="Closed"),"",IF(H66="Issue",IF(I66="High",WORKDAY(J66,2,#REF!),IF(I66="Medium",WORKDAY(J66,14,#REF!),IF(OR(I66="Low"),WORKDAY(J66,30,#REF!),""))),
"")
))</f>
        <v/>
      </c>
      <c r="O66" s="56" t="str">
        <f ca="1">IF(OR(ISBLANK(#REF!), M66="Completed", M66="Closed", H66&lt;&gt;"Issue"), "",
   ( NETWORKDAYS.INTL(TODAY(), N66, 1,#REF!) - 1))</f>
        <v/>
      </c>
      <c r="P66" s="65" t="str">
        <f t="shared" ca="1" si="1"/>
        <v/>
      </c>
      <c r="Q66" s="57" t="str">
        <f t="shared" ca="1" si="3"/>
        <v/>
      </c>
    </row>
    <row r="67" spans="1:17" x14ac:dyDescent="0.3">
      <c r="A67" s="53"/>
      <c r="B67" s="53"/>
      <c r="C67" s="53"/>
      <c r="D67" s="53"/>
      <c r="E67" s="53"/>
      <c r="F67" s="53"/>
      <c r="G67" s="53"/>
      <c r="H67" s="53"/>
      <c r="I67" s="53" t="s">
        <v>71</v>
      </c>
      <c r="J67" s="54"/>
      <c r="K67" s="54"/>
      <c r="L67" s="54"/>
      <c r="M67" s="53"/>
      <c r="N67" s="55" t="str">
        <f>IF(ISBLANK(J67),"",IF(OR(M67="Completed",M67="Closed"),"",IF(H67="Issue",IF(I67="High",WORKDAY(J67,2,#REF!),IF(I67="Medium",WORKDAY(J67,14,#REF!),IF(OR(I67="Low"),WORKDAY(J67,30,#REF!),""))),
"")
))</f>
        <v/>
      </c>
      <c r="O67" s="56" t="str">
        <f ca="1">IF(OR(ISBLANK(#REF!), M67="Completed", M67="Closed", H67&lt;&gt;"Issue"), "",
   ( NETWORKDAYS.INTL(TODAY(), N67, 1,#REF!) - 1))</f>
        <v/>
      </c>
      <c r="P67" s="65" t="str">
        <f t="shared" ca="1" si="1"/>
        <v/>
      </c>
      <c r="Q67" s="57" t="str">
        <f t="shared" ca="1" si="3"/>
        <v/>
      </c>
    </row>
    <row r="68" spans="1:17" x14ac:dyDescent="0.3">
      <c r="A68" s="53"/>
      <c r="B68" s="53"/>
      <c r="C68" s="53"/>
      <c r="D68" s="53"/>
      <c r="E68" s="53"/>
      <c r="F68" s="53"/>
      <c r="G68" s="53"/>
      <c r="H68" s="53"/>
      <c r="I68" s="53" t="s">
        <v>71</v>
      </c>
      <c r="J68" s="54"/>
      <c r="K68" s="59"/>
      <c r="L68" s="59"/>
      <c r="M68" s="53"/>
      <c r="N68" s="55" t="str">
        <f>IF(ISBLANK(J68),"",IF(OR(M68="Completed",M68="Closed"),"",IF(H68="Issue",IF(I68="High",WORKDAY(J68,2,#REF!),IF(I68="Medium",WORKDAY(J68,14,#REF!),IF(OR(I68="Low"),WORKDAY(J68,30,#REF!),""))),
"")
))</f>
        <v/>
      </c>
      <c r="O68" s="56" t="str">
        <f ca="1">IF(OR(ISBLANK(#REF!), M68="Completed", M68="Closed", H68&lt;&gt;"Issue"), "",
   ( NETWORKDAYS.INTL(TODAY(), N68, 1,#REF!) - 1))</f>
        <v/>
      </c>
      <c r="P68" s="65" t="str">
        <f t="shared" ref="P68:P131" ca="1" si="4">IF(O68="","",LEFT(O68,10)*(-1))</f>
        <v/>
      </c>
      <c r="Q68" s="57" t="str">
        <f t="shared" ca="1" si="3"/>
        <v/>
      </c>
    </row>
    <row r="69" spans="1:17" x14ac:dyDescent="0.3">
      <c r="A69" s="53"/>
      <c r="B69" s="53"/>
      <c r="C69" s="53"/>
      <c r="D69" s="53"/>
      <c r="E69" s="53"/>
      <c r="F69" s="53"/>
      <c r="G69" s="53"/>
      <c r="H69" s="53"/>
      <c r="I69" s="53" t="s">
        <v>71</v>
      </c>
      <c r="J69" s="54"/>
      <c r="K69" s="54"/>
      <c r="L69" s="54"/>
      <c r="M69" s="53"/>
      <c r="N69" s="55" t="str">
        <f>IF(ISBLANK(J69),"",IF(OR(M69="Completed",M69="Closed"),"",IF(H69="Issue",IF(I69="High",WORKDAY(J69,2,#REF!),IF(I69="Medium",WORKDAY(J69,14,#REF!),IF(OR(I69="Low"),WORKDAY(J69,30,#REF!),""))),
"")
))</f>
        <v/>
      </c>
      <c r="O69" s="56" t="str">
        <f ca="1">IF(OR(ISBLANK(#REF!), M69="Completed", M69="Closed", H69&lt;&gt;"Issue"), "",
   ( NETWORKDAYS.INTL(TODAY(), N69, 1,#REF!) - 1))</f>
        <v/>
      </c>
      <c r="P69" s="65" t="str">
        <f t="shared" ca="1" si="4"/>
        <v/>
      </c>
      <c r="Q69" s="57" t="str">
        <f t="shared" ca="1" si="3"/>
        <v/>
      </c>
    </row>
    <row r="70" spans="1:17" x14ac:dyDescent="0.3">
      <c r="A70" s="53"/>
      <c r="B70" s="53"/>
      <c r="C70" s="53"/>
      <c r="D70" s="53"/>
      <c r="E70" s="53"/>
      <c r="F70" s="53"/>
      <c r="G70" s="53"/>
      <c r="H70" s="53"/>
      <c r="I70" s="53" t="s">
        <v>71</v>
      </c>
      <c r="J70" s="54"/>
      <c r="K70" s="54"/>
      <c r="L70" s="54"/>
      <c r="M70" s="53"/>
      <c r="N70" s="55" t="str">
        <f>IF(ISBLANK(J70),"",IF(OR(M70="Completed",M70="Closed"),"",IF(H70="Issue",IF(I70="High",WORKDAY(J70,2,#REF!),IF(I70="Medium",WORKDAY(J70,14,#REF!),IF(OR(I70="Low"),WORKDAY(J70,30,#REF!),""))),
"")
))</f>
        <v/>
      </c>
      <c r="O70" s="56" t="str">
        <f ca="1">IF(OR(ISBLANK(#REF!), M70="Completed", M70="Closed", H70&lt;&gt;"Issue"), "",
   ( NETWORKDAYS.INTL(TODAY(), N70, 1,#REF!) - 1))</f>
        <v/>
      </c>
      <c r="P70" s="65" t="str">
        <f t="shared" ca="1" si="4"/>
        <v/>
      </c>
      <c r="Q70" s="57" t="str">
        <f t="shared" ca="1" si="3"/>
        <v/>
      </c>
    </row>
    <row r="71" spans="1:17" x14ac:dyDescent="0.3">
      <c r="A71" s="53"/>
      <c r="B71" s="53"/>
      <c r="C71" s="53"/>
      <c r="D71" s="53"/>
      <c r="E71" s="53"/>
      <c r="F71" s="53"/>
      <c r="G71" s="53"/>
      <c r="H71" s="53"/>
      <c r="I71" s="53" t="s">
        <v>71</v>
      </c>
      <c r="J71" s="54"/>
      <c r="K71" s="54"/>
      <c r="L71" s="54"/>
      <c r="M71" s="53"/>
      <c r="N71" s="55" t="str">
        <f>IF(ISBLANK(J71),"",IF(OR(M71="Completed",M71="Closed"),"",IF(H71="Issue",IF(I71="High",WORKDAY(J71,2,#REF!),IF(I71="Medium",WORKDAY(J71,14,#REF!),IF(OR(I71="Low"),WORKDAY(J71,30,#REF!),""))),
"")
))</f>
        <v/>
      </c>
      <c r="O71" s="56" t="str">
        <f ca="1">IF(OR(ISBLANK(#REF!), M71="Completed", M71="Closed", H71&lt;&gt;"Issue"), "",
   ( NETWORKDAYS.INTL(TODAY(), N71, 1,#REF!) - 1))</f>
        <v/>
      </c>
      <c r="P71" s="65" t="str">
        <f t="shared" ca="1" si="4"/>
        <v/>
      </c>
      <c r="Q71" s="57" t="str">
        <f t="shared" ca="1" si="3"/>
        <v/>
      </c>
    </row>
    <row r="72" spans="1:17" x14ac:dyDescent="0.3">
      <c r="A72" s="53"/>
      <c r="B72" s="53"/>
      <c r="C72" s="53"/>
      <c r="D72" s="53"/>
      <c r="E72" s="53"/>
      <c r="F72" s="53"/>
      <c r="G72" s="53"/>
      <c r="H72" s="53"/>
      <c r="I72" s="53" t="s">
        <v>71</v>
      </c>
      <c r="J72" s="54"/>
      <c r="K72" s="59"/>
      <c r="L72" s="59"/>
      <c r="M72" s="53"/>
      <c r="N72" s="55" t="str">
        <f>IF(ISBLANK(J72),"",IF(OR(M72="Completed",M72="Closed"),"",IF(H72="Issue",IF(I72="High",WORKDAY(J72,2,#REF!),IF(I72="Medium",WORKDAY(J72,14,#REF!),IF(OR(I72="Low"),WORKDAY(J72,30,#REF!),""))),
"")
))</f>
        <v/>
      </c>
      <c r="O72" s="56" t="str">
        <f ca="1">IF(OR(ISBLANK(#REF!), M72="Completed", M72="Closed", H72&lt;&gt;"Issue"), "",
   ( NETWORKDAYS.INTL(TODAY(), N72, 1,#REF!) - 1))</f>
        <v/>
      </c>
      <c r="P72" s="65" t="str">
        <f t="shared" ca="1" si="4"/>
        <v/>
      </c>
      <c r="Q72" s="57" t="str">
        <f t="shared" ca="1" si="3"/>
        <v/>
      </c>
    </row>
    <row r="73" spans="1:17" x14ac:dyDescent="0.3">
      <c r="A73" s="53"/>
      <c r="B73" s="53"/>
      <c r="C73" s="53"/>
      <c r="D73" s="53"/>
      <c r="E73" s="53"/>
      <c r="F73" s="53"/>
      <c r="G73" s="53"/>
      <c r="H73" s="53"/>
      <c r="I73" s="53" t="s">
        <v>71</v>
      </c>
      <c r="J73" s="54"/>
      <c r="K73" s="59"/>
      <c r="L73" s="59"/>
      <c r="M73" s="53"/>
      <c r="N73" s="55" t="str">
        <f>IF(ISBLANK(J73),"",IF(OR(M73="Completed",M73="Closed"),"",IF(H73="Issue",IF(I73="High",WORKDAY(J73,2,#REF!),IF(I73="Medium",WORKDAY(J73,14,#REF!),IF(OR(I73="Low"),WORKDAY(J73,30,#REF!),""))),
"")
))</f>
        <v/>
      </c>
      <c r="O73" s="56" t="str">
        <f ca="1">IF(OR(ISBLANK(#REF!), M73="Completed", M73="Closed", H73&lt;&gt;"Issue"), "",
   ( NETWORKDAYS.INTL(TODAY(), N73, 1,#REF!) - 1))</f>
        <v/>
      </c>
      <c r="P73" s="65" t="str">
        <f t="shared" ca="1" si="4"/>
        <v/>
      </c>
      <c r="Q73" s="57" t="str">
        <f t="shared" ca="1" si="3"/>
        <v/>
      </c>
    </row>
    <row r="74" spans="1:17" x14ac:dyDescent="0.3">
      <c r="A74" s="53"/>
      <c r="B74" s="53"/>
      <c r="C74" s="53"/>
      <c r="D74" s="53"/>
      <c r="E74" s="53"/>
      <c r="F74" s="53"/>
      <c r="G74" s="53"/>
      <c r="H74" s="53"/>
      <c r="I74" s="53" t="s">
        <v>71</v>
      </c>
      <c r="J74" s="54"/>
      <c r="K74" s="54"/>
      <c r="L74" s="54"/>
      <c r="M74" s="53"/>
      <c r="N74" s="55" t="str">
        <f>IF(ISBLANK(J74),"",IF(OR(M74="Completed",M74="Closed"),"",IF(H74="Issue",IF(I74="High",WORKDAY(J74,2,#REF!),IF(I74="Medium",WORKDAY(J74,14,#REF!),IF(OR(I74="Low"),WORKDAY(J74,30,#REF!),""))),
"")
))</f>
        <v/>
      </c>
      <c r="O74" s="56" t="str">
        <f ca="1">IF(OR(ISBLANK(#REF!), M74="Completed", M74="Closed", H74&lt;&gt;"Issue"), "",
   ( NETWORKDAYS.INTL(TODAY(), N74, 1,#REF!) - 1))</f>
        <v/>
      </c>
      <c r="P74" s="65" t="str">
        <f t="shared" ca="1" si="4"/>
        <v/>
      </c>
      <c r="Q74" s="57" t="str">
        <f t="shared" ca="1" si="3"/>
        <v/>
      </c>
    </row>
    <row r="75" spans="1:17" x14ac:dyDescent="0.3">
      <c r="A75" s="53"/>
      <c r="B75" s="53"/>
      <c r="C75" s="53"/>
      <c r="D75" s="53"/>
      <c r="E75" s="53"/>
      <c r="F75" s="53"/>
      <c r="G75" s="53"/>
      <c r="H75" s="53"/>
      <c r="I75" s="53" t="s">
        <v>71</v>
      </c>
      <c r="J75" s="54"/>
      <c r="K75" s="59"/>
      <c r="L75" s="59"/>
      <c r="M75" s="53"/>
      <c r="N75" s="55" t="str">
        <f>IF(ISBLANK(J75),"",IF(OR(M75="Completed",M75="Closed"),"",IF(H75="Issue",IF(I75="High",WORKDAY(J75,2,#REF!),IF(I75="Medium",WORKDAY(J75,14,#REF!),IF(OR(I75="Low"),WORKDAY(J75,30,#REF!),""))),
"")
))</f>
        <v/>
      </c>
      <c r="O75" s="56" t="str">
        <f ca="1">IF(OR(ISBLANK(#REF!), M75="Completed", M75="Closed", H75&lt;&gt;"Issue"), "",
   ( NETWORKDAYS.INTL(TODAY(), N75, 1,#REF!) - 1))</f>
        <v/>
      </c>
      <c r="P75" s="65" t="str">
        <f t="shared" ca="1" si="4"/>
        <v/>
      </c>
      <c r="Q75" s="57" t="str">
        <f t="shared" ca="1" si="3"/>
        <v/>
      </c>
    </row>
    <row r="76" spans="1:17" x14ac:dyDescent="0.3">
      <c r="A76" s="53"/>
      <c r="B76" s="53"/>
      <c r="C76" s="53"/>
      <c r="D76" s="53"/>
      <c r="E76" s="53"/>
      <c r="F76" s="53"/>
      <c r="G76" s="53"/>
      <c r="H76" s="53"/>
      <c r="I76" s="53" t="s">
        <v>71</v>
      </c>
      <c r="J76" s="54"/>
      <c r="K76" s="59"/>
      <c r="L76" s="59"/>
      <c r="M76" s="53"/>
      <c r="N76" s="55" t="str">
        <f>IF(ISBLANK(J76),"",IF(OR(M76="Completed",M76="Closed"),"",IF(H76="Issue",IF(I76="High",WORKDAY(J76,2,#REF!),IF(I76="Medium",WORKDAY(J76,14,#REF!),IF(OR(I76="Low"),WORKDAY(J76,30,#REF!),""))),
"")
))</f>
        <v/>
      </c>
      <c r="O76" s="56" t="str">
        <f ca="1">IF(OR(ISBLANK(#REF!), M76="Completed", M76="Closed", H76&lt;&gt;"Issue"), "",
   ( NETWORKDAYS.INTL(TODAY(), N76, 1,#REF!) - 1))</f>
        <v/>
      </c>
      <c r="P76" s="65" t="str">
        <f t="shared" ca="1" si="4"/>
        <v/>
      </c>
      <c r="Q76" s="57" t="str">
        <f t="shared" ca="1" si="3"/>
        <v/>
      </c>
    </row>
    <row r="77" spans="1:17" x14ac:dyDescent="0.3">
      <c r="A77" s="53"/>
      <c r="B77" s="53"/>
      <c r="C77" s="53"/>
      <c r="D77" s="53"/>
      <c r="E77" s="53"/>
      <c r="F77" s="53"/>
      <c r="G77" s="53"/>
      <c r="H77" s="53"/>
      <c r="I77" s="53" t="s">
        <v>71</v>
      </c>
      <c r="J77" s="54"/>
      <c r="K77" s="54"/>
      <c r="L77" s="59"/>
      <c r="M77" s="53"/>
      <c r="N77" s="55" t="str">
        <f>IF(ISBLANK(J77),"",IF(OR(M77="Completed",M77="Closed"),"",IF(H77="Issue",IF(I77="High",WORKDAY(J77,2,#REF!),IF(I77="Medium",WORKDAY(J77,14,#REF!),IF(OR(I77="Low"),WORKDAY(J77,30,#REF!),""))),
"")
))</f>
        <v/>
      </c>
      <c r="O77" s="56" t="str">
        <f ca="1">IF(OR(ISBLANK(#REF!), M77="Completed", M77="Closed", H77&lt;&gt;"Issue"), "",
   ( NETWORKDAYS.INTL(TODAY(), N77, 1,#REF!) - 1))</f>
        <v/>
      </c>
      <c r="P77" s="65" t="str">
        <f t="shared" ca="1" si="4"/>
        <v/>
      </c>
      <c r="Q77" s="57" t="str">
        <f t="shared" ca="1" si="3"/>
        <v/>
      </c>
    </row>
    <row r="78" spans="1:17" x14ac:dyDescent="0.3">
      <c r="A78" s="53"/>
      <c r="B78" s="53"/>
      <c r="C78" s="53"/>
      <c r="D78" s="53"/>
      <c r="E78" s="53"/>
      <c r="F78" s="53"/>
      <c r="G78" s="53"/>
      <c r="H78" s="53"/>
      <c r="I78" s="53" t="s">
        <v>71</v>
      </c>
      <c r="J78" s="54"/>
      <c r="K78" s="54"/>
      <c r="L78" s="54"/>
      <c r="M78" s="53"/>
      <c r="N78" s="55" t="str">
        <f>IF(ISBLANK(J78),"",IF(OR(M78="Completed",M78="Closed"),"",IF(H78="Issue",IF(I78="High",WORKDAY(J78,2,#REF!),IF(I78="Medium",WORKDAY(J78,14,#REF!),IF(OR(I78="Low"),WORKDAY(J78,30,#REF!),""))),
"")
))</f>
        <v/>
      </c>
      <c r="O78" s="56" t="str">
        <f ca="1">IF(OR(ISBLANK(#REF!), M78="Completed", M78="Closed", H78&lt;&gt;"Issue"), "",
   ( NETWORKDAYS.INTL(TODAY(), N78, 1,#REF!) - 1))</f>
        <v/>
      </c>
      <c r="P78" s="65" t="str">
        <f t="shared" ca="1" si="4"/>
        <v/>
      </c>
      <c r="Q78" s="57" t="str">
        <f t="shared" ca="1" si="3"/>
        <v/>
      </c>
    </row>
    <row r="79" spans="1:17" x14ac:dyDescent="0.3">
      <c r="A79" s="53"/>
      <c r="B79" s="53"/>
      <c r="C79" s="53"/>
      <c r="D79" s="53"/>
      <c r="E79" s="53"/>
      <c r="F79" s="53"/>
      <c r="G79" s="53"/>
      <c r="H79" s="53"/>
      <c r="I79" s="53" t="s">
        <v>71</v>
      </c>
      <c r="J79" s="54"/>
      <c r="K79" s="54"/>
      <c r="L79" s="54"/>
      <c r="M79" s="53"/>
      <c r="N79" s="55" t="str">
        <f>IF(ISBLANK(J79),"",IF(OR(M79="Completed",M79="Closed"),"",IF(H79="Issue",IF(I79="High",WORKDAY(J79,2,#REF!),IF(I79="Medium",WORKDAY(J79,14,#REF!),IF(OR(I79="Low"),WORKDAY(J79,30,#REF!),""))),
"")
))</f>
        <v/>
      </c>
      <c r="O79" s="56" t="str">
        <f ca="1">IF(OR(ISBLANK(#REF!), M79="Completed", M79="Closed", H79&lt;&gt;"Issue"), "",
   ( NETWORKDAYS.INTL(TODAY(), N79, 1,#REF!) - 1))</f>
        <v/>
      </c>
      <c r="P79" s="65" t="str">
        <f t="shared" ca="1" si="4"/>
        <v/>
      </c>
      <c r="Q79" s="57" t="str">
        <f t="shared" ca="1" si="3"/>
        <v/>
      </c>
    </row>
    <row r="80" spans="1:17" x14ac:dyDescent="0.3">
      <c r="A80" s="53"/>
      <c r="B80" s="53"/>
      <c r="C80" s="53"/>
      <c r="D80" s="53"/>
      <c r="E80" s="53"/>
      <c r="F80" s="53"/>
      <c r="G80" s="53"/>
      <c r="H80" s="53"/>
      <c r="I80" s="53" t="s">
        <v>71</v>
      </c>
      <c r="J80" s="54"/>
      <c r="K80" s="54"/>
      <c r="L80" s="54"/>
      <c r="M80" s="53"/>
      <c r="N80" s="55" t="str">
        <f>IF(ISBLANK(J80),"",IF(OR(M80="Completed",M80="Closed"),"",IF(H80="Issue",IF(I80="High",WORKDAY(J80,2,#REF!),IF(I80="Medium",WORKDAY(J80,14,#REF!),IF(OR(I80="Low"),WORKDAY(J80,30,#REF!),""))),
"")
))</f>
        <v/>
      </c>
      <c r="O80" s="56" t="str">
        <f ca="1">IF(OR(ISBLANK(#REF!), M80="Completed", M80="Closed", H80&lt;&gt;"Issue"), "",
   ( NETWORKDAYS.INTL(TODAY(), N80, 1,#REF!) - 1))</f>
        <v/>
      </c>
      <c r="P80" s="65" t="str">
        <f t="shared" ca="1" si="4"/>
        <v/>
      </c>
      <c r="Q80" s="57" t="str">
        <f t="shared" ref="Q80:Q143" ca="1" si="5">IF(P80="","",
IF(P80&lt;=30,"1-30 Days",
IF(AND(P80&gt;=31,P80&lt;=60),"31-60 Days",
"&gt;60 Days")))</f>
        <v/>
      </c>
    </row>
    <row r="81" spans="1:17" x14ac:dyDescent="0.3">
      <c r="A81" s="53"/>
      <c r="B81" s="53"/>
      <c r="C81" s="53"/>
      <c r="D81" s="53"/>
      <c r="E81" s="53"/>
      <c r="F81" s="53"/>
      <c r="G81" s="53"/>
      <c r="H81" s="53"/>
      <c r="I81" s="53" t="s">
        <v>71</v>
      </c>
      <c r="J81" s="54"/>
      <c r="K81" s="54"/>
      <c r="L81" s="59"/>
      <c r="M81" s="53"/>
      <c r="N81" s="55" t="str">
        <f>IF(ISBLANK(J81),"",IF(OR(M81="Completed",M81="Closed"),"",IF(H81="Issue",IF(I81="High",WORKDAY(J81,2,#REF!),IF(I81="Medium",WORKDAY(J81,14,#REF!),IF(OR(I81="Low"),WORKDAY(J81,30,#REF!),""))),
"")
))</f>
        <v/>
      </c>
      <c r="O81" s="56" t="str">
        <f ca="1">IF(OR(ISBLANK(#REF!), M81="Completed", M81="Closed", H81&lt;&gt;"Issue"), "",
   ( NETWORKDAYS.INTL(TODAY(), N81, 1,#REF!) - 1))</f>
        <v/>
      </c>
      <c r="P81" s="65" t="str">
        <f t="shared" ca="1" si="4"/>
        <v/>
      </c>
      <c r="Q81" s="57" t="str">
        <f t="shared" ca="1" si="5"/>
        <v/>
      </c>
    </row>
    <row r="82" spans="1:17" x14ac:dyDescent="0.3">
      <c r="A82" s="53"/>
      <c r="B82" s="53"/>
      <c r="C82" s="53"/>
      <c r="D82" s="53"/>
      <c r="E82" s="53"/>
      <c r="F82" s="53"/>
      <c r="G82" s="53"/>
      <c r="H82" s="53"/>
      <c r="I82" s="53" t="s">
        <v>71</v>
      </c>
      <c r="J82" s="54"/>
      <c r="K82" s="54"/>
      <c r="L82" s="54"/>
      <c r="M82" s="53"/>
      <c r="N82" s="55" t="str">
        <f>IF(ISBLANK(J82),"",IF(OR(M82="Completed",M82="Closed"),"",IF(H82="Issue",IF(I82="High",WORKDAY(J82,2,#REF!),IF(I82="Medium",WORKDAY(J82,14,#REF!),IF(OR(I82="Low"),WORKDAY(J82,30,#REF!),""))),
"")
))</f>
        <v/>
      </c>
      <c r="O82" s="56" t="str">
        <f ca="1">IF(OR(ISBLANK(#REF!), M82="Completed", M82="Closed", H82&lt;&gt;"Issue"), "",
   ( NETWORKDAYS.INTL(TODAY(), N82, 1,#REF!) - 1))</f>
        <v/>
      </c>
      <c r="P82" s="65" t="str">
        <f t="shared" ca="1" si="4"/>
        <v/>
      </c>
      <c r="Q82" s="57" t="str">
        <f t="shared" ca="1" si="5"/>
        <v/>
      </c>
    </row>
    <row r="83" spans="1:17" x14ac:dyDescent="0.3">
      <c r="A83" s="53"/>
      <c r="B83" s="53"/>
      <c r="C83" s="53"/>
      <c r="D83" s="53"/>
      <c r="E83" s="53"/>
      <c r="F83" s="53"/>
      <c r="G83" s="53"/>
      <c r="H83" s="53"/>
      <c r="I83" s="53" t="s">
        <v>71</v>
      </c>
      <c r="J83" s="54"/>
      <c r="K83" s="59"/>
      <c r="L83" s="59"/>
      <c r="M83" s="53"/>
      <c r="N83" s="55" t="str">
        <f>IF(ISBLANK(J83),"",IF(OR(M83="Completed",M83="Closed"),"",IF(H83="Issue",IF(I83="High",WORKDAY(J83,2,#REF!),IF(I83="Medium",WORKDAY(J83,14,#REF!),IF(OR(I83="Low"),WORKDAY(J83,30,#REF!),""))),
"")
))</f>
        <v/>
      </c>
      <c r="O83" s="56" t="str">
        <f ca="1">IF(OR(ISBLANK(#REF!), M83="Completed", M83="Closed", H83&lt;&gt;"Issue"), "",
   ( NETWORKDAYS.INTL(TODAY(), N83, 1,#REF!) - 1))</f>
        <v/>
      </c>
      <c r="P83" s="65" t="str">
        <f t="shared" ca="1" si="4"/>
        <v/>
      </c>
      <c r="Q83" s="57" t="str">
        <f t="shared" ca="1" si="5"/>
        <v/>
      </c>
    </row>
    <row r="84" spans="1:17" x14ac:dyDescent="0.3">
      <c r="A84" s="53"/>
      <c r="B84" s="53"/>
      <c r="C84" s="53"/>
      <c r="D84" s="53"/>
      <c r="E84" s="53"/>
      <c r="F84" s="53"/>
      <c r="G84" s="53"/>
      <c r="H84" s="53"/>
      <c r="I84" s="53" t="s">
        <v>71</v>
      </c>
      <c r="J84" s="54"/>
      <c r="K84" s="59"/>
      <c r="L84" s="59"/>
      <c r="M84" s="53"/>
      <c r="N84" s="55" t="str">
        <f>IF(ISBLANK(J84),"",IF(OR(M84="Completed",M84="Closed"),"",IF(H84="Issue",IF(I84="High",WORKDAY(J84,2,#REF!),IF(I84="Medium",WORKDAY(J84,14,#REF!),IF(OR(I84="Low"),WORKDAY(J84,30,#REF!),""))),
"")
))</f>
        <v/>
      </c>
      <c r="O84" s="56" t="str">
        <f ca="1">IF(OR(ISBLANK(#REF!), M84="Completed", M84="Closed", H84&lt;&gt;"Issue"), "",
   ( NETWORKDAYS.INTL(TODAY(), N84, 1,#REF!) - 1))</f>
        <v/>
      </c>
      <c r="P84" s="65" t="str">
        <f t="shared" ca="1" si="4"/>
        <v/>
      </c>
      <c r="Q84" s="57" t="str">
        <f t="shared" ca="1" si="5"/>
        <v/>
      </c>
    </row>
    <row r="85" spans="1:17" x14ac:dyDescent="0.3">
      <c r="A85" s="53"/>
      <c r="B85" s="53"/>
      <c r="C85" s="53"/>
      <c r="D85" s="53"/>
      <c r="E85" s="53"/>
      <c r="F85" s="53"/>
      <c r="G85" s="53"/>
      <c r="H85" s="53"/>
      <c r="I85" s="53" t="s">
        <v>71</v>
      </c>
      <c r="J85" s="54"/>
      <c r="K85" s="59"/>
      <c r="L85" s="59"/>
      <c r="M85" s="53"/>
      <c r="N85" s="55" t="str">
        <f>IF(ISBLANK(J85),"",IF(OR(M85="Completed",M85="Closed"),"",IF(H85="Issue",IF(I85="High",WORKDAY(J85,2,#REF!),IF(I85="Medium",WORKDAY(J85,14,#REF!),IF(OR(I85="Low"),WORKDAY(J85,30,#REF!),""))),
"")
))</f>
        <v/>
      </c>
      <c r="O85" s="56" t="str">
        <f ca="1">IF(OR(ISBLANK(#REF!), M85="Completed", M85="Closed", H85&lt;&gt;"Issue"), "",
   ( NETWORKDAYS.INTL(TODAY(), N85, 1,#REF!) - 1))</f>
        <v/>
      </c>
      <c r="P85" s="65" t="str">
        <f t="shared" ca="1" si="4"/>
        <v/>
      </c>
      <c r="Q85" s="57" t="str">
        <f t="shared" ca="1" si="5"/>
        <v/>
      </c>
    </row>
    <row r="86" spans="1:17" x14ac:dyDescent="0.3">
      <c r="A86" s="53"/>
      <c r="B86" s="53"/>
      <c r="C86" s="53"/>
      <c r="D86" s="53"/>
      <c r="E86" s="53"/>
      <c r="F86" s="53"/>
      <c r="G86" s="53"/>
      <c r="H86" s="53"/>
      <c r="I86" s="53" t="s">
        <v>71</v>
      </c>
      <c r="J86" s="54"/>
      <c r="K86" s="59"/>
      <c r="L86" s="59"/>
      <c r="M86" s="53"/>
      <c r="N86" s="55" t="str">
        <f>IF(ISBLANK(J86),"",IF(OR(M86="Completed",M86="Closed"),"",IF(H86="Issue",IF(I86="High",WORKDAY(J86,2,#REF!),IF(I86="Medium",WORKDAY(J86,14,#REF!),IF(OR(I86="Low"),WORKDAY(J86,30,#REF!),""))),
"")
))</f>
        <v/>
      </c>
      <c r="O86" s="56" t="str">
        <f ca="1">IF(OR(ISBLANK(#REF!), M86="Completed", M86="Closed", H86&lt;&gt;"Issue"), "",
   ( NETWORKDAYS.INTL(TODAY(), N86, 1,#REF!) - 1))</f>
        <v/>
      </c>
      <c r="P86" s="65" t="str">
        <f t="shared" ca="1" si="4"/>
        <v/>
      </c>
      <c r="Q86" s="57" t="str">
        <f t="shared" ca="1" si="5"/>
        <v/>
      </c>
    </row>
    <row r="87" spans="1:17" x14ac:dyDescent="0.3">
      <c r="A87" s="53"/>
      <c r="B87" s="53"/>
      <c r="C87" s="53"/>
      <c r="D87" s="53"/>
      <c r="E87" s="53"/>
      <c r="F87" s="53"/>
      <c r="G87" s="53"/>
      <c r="H87" s="53"/>
      <c r="I87" s="53" t="s">
        <v>71</v>
      </c>
      <c r="J87" s="54"/>
      <c r="K87" s="59"/>
      <c r="L87" s="59"/>
      <c r="M87" s="53"/>
      <c r="N87" s="55" t="str">
        <f>IF(ISBLANK(J87),"",IF(OR(M87="Completed",M87="Closed"),"",IF(H87="Issue",IF(I87="High",WORKDAY(J87,2,#REF!),IF(I87="Medium",WORKDAY(J87,14,#REF!),IF(OR(I87="Low"),WORKDAY(J87,30,#REF!),""))),
"")
))</f>
        <v/>
      </c>
      <c r="O87" s="56" t="str">
        <f ca="1">IF(OR(ISBLANK(#REF!), M87="Completed", M87="Closed", H87&lt;&gt;"Issue"), "",
   ( NETWORKDAYS.INTL(TODAY(), N87, 1,#REF!) - 1))</f>
        <v/>
      </c>
      <c r="P87" s="65" t="str">
        <f t="shared" ca="1" si="4"/>
        <v/>
      </c>
      <c r="Q87" s="57" t="str">
        <f t="shared" ca="1" si="5"/>
        <v/>
      </c>
    </row>
    <row r="88" spans="1:17" x14ac:dyDescent="0.3">
      <c r="A88" s="53"/>
      <c r="B88" s="53"/>
      <c r="C88" s="53"/>
      <c r="D88" s="53"/>
      <c r="E88" s="53"/>
      <c r="F88" s="53"/>
      <c r="G88" s="53"/>
      <c r="H88" s="53"/>
      <c r="I88" s="53" t="s">
        <v>71</v>
      </c>
      <c r="J88" s="54"/>
      <c r="K88" s="59"/>
      <c r="L88" s="59"/>
      <c r="M88" s="53"/>
      <c r="N88" s="55" t="str">
        <f>IF(ISBLANK(J88),"",IF(OR(M88="Completed",M88="Closed"),"",IF(H88="Issue",IF(I88="High",WORKDAY(J88,2,#REF!),IF(I88="Medium",WORKDAY(J88,14,#REF!),IF(OR(I88="Low"),WORKDAY(J88,30,#REF!),""))),
"")
))</f>
        <v/>
      </c>
      <c r="O88" s="56" t="str">
        <f ca="1">IF(OR(ISBLANK(#REF!), M88="Completed", M88="Closed", H88&lt;&gt;"Issue"), "",
   ( NETWORKDAYS.INTL(TODAY(), N88, 1,#REF!) - 1))</f>
        <v/>
      </c>
      <c r="P88" s="65" t="str">
        <f t="shared" ca="1" si="4"/>
        <v/>
      </c>
      <c r="Q88" s="57" t="str">
        <f t="shared" ca="1" si="5"/>
        <v/>
      </c>
    </row>
    <row r="89" spans="1:17" x14ac:dyDescent="0.3">
      <c r="A89" s="53"/>
      <c r="B89" s="53"/>
      <c r="C89" s="53"/>
      <c r="D89" s="53"/>
      <c r="E89" s="53"/>
      <c r="F89" s="53"/>
      <c r="G89" s="53"/>
      <c r="H89" s="53"/>
      <c r="I89" s="53" t="s">
        <v>71</v>
      </c>
      <c r="J89" s="54"/>
      <c r="K89" s="59"/>
      <c r="L89" s="59"/>
      <c r="M89" s="53"/>
      <c r="N89" s="55" t="str">
        <f>IF(ISBLANK(J89),"",IF(OR(M89="Completed",M89="Closed"),"",IF(H89="Issue",IF(I89="High",WORKDAY(J89,2,#REF!),IF(I89="Medium",WORKDAY(J89,14,#REF!),IF(OR(I89="Low"),WORKDAY(J89,30,#REF!),""))),
"")
))</f>
        <v/>
      </c>
      <c r="O89" s="56" t="str">
        <f ca="1">IF(OR(ISBLANK(#REF!), M89="Completed", M89="Closed", H89&lt;&gt;"Issue"), "",
   ( NETWORKDAYS.INTL(TODAY(), N89, 1,#REF!) - 1))</f>
        <v/>
      </c>
      <c r="P89" s="65" t="str">
        <f t="shared" ca="1" si="4"/>
        <v/>
      </c>
      <c r="Q89" s="57" t="str">
        <f t="shared" ca="1" si="5"/>
        <v/>
      </c>
    </row>
    <row r="90" spans="1:17" x14ac:dyDescent="0.3">
      <c r="A90" s="53"/>
      <c r="B90" s="53"/>
      <c r="C90" s="53"/>
      <c r="D90" s="53"/>
      <c r="E90" s="53"/>
      <c r="F90" s="53"/>
      <c r="G90" s="53"/>
      <c r="H90" s="53"/>
      <c r="I90" s="53" t="s">
        <v>71</v>
      </c>
      <c r="J90" s="54"/>
      <c r="K90" s="59"/>
      <c r="L90" s="59"/>
      <c r="M90" s="53"/>
      <c r="N90" s="55" t="str">
        <f>IF(ISBLANK(J90),"",IF(OR(M90="Completed",M90="Closed"),"",IF(H90="Issue",IF(I90="High",WORKDAY(J90,2,#REF!),IF(I90="Medium",WORKDAY(J90,14,#REF!),IF(OR(I90="Low"),WORKDAY(J90,30,#REF!),""))),
"")
))</f>
        <v/>
      </c>
      <c r="O90" s="56" t="str">
        <f ca="1">IF(OR(ISBLANK(#REF!), M90="Completed", M90="Closed", H90&lt;&gt;"Issue"), "",
   ( NETWORKDAYS.INTL(TODAY(), N90, 1,#REF!) - 1))</f>
        <v/>
      </c>
      <c r="P90" s="65" t="str">
        <f t="shared" ca="1" si="4"/>
        <v/>
      </c>
      <c r="Q90" s="57" t="str">
        <f t="shared" ca="1" si="5"/>
        <v/>
      </c>
    </row>
    <row r="91" spans="1:17" x14ac:dyDescent="0.3">
      <c r="A91" s="53"/>
      <c r="B91" s="53"/>
      <c r="C91" s="53"/>
      <c r="D91" s="53"/>
      <c r="E91" s="53"/>
      <c r="F91" s="53"/>
      <c r="G91" s="53"/>
      <c r="H91" s="53"/>
      <c r="I91" s="53" t="s">
        <v>71</v>
      </c>
      <c r="J91" s="54"/>
      <c r="K91" s="59"/>
      <c r="L91" s="59"/>
      <c r="M91" s="53"/>
      <c r="N91" s="55" t="str">
        <f>IF(ISBLANK(J91),"",IF(OR(M91="Completed",M91="Closed"),"",IF(H91="Issue",IF(I91="High",WORKDAY(J91,2,#REF!),IF(I91="Medium",WORKDAY(J91,14,#REF!),IF(OR(I91="Low"),WORKDAY(J91,30,#REF!),""))),
"")
))</f>
        <v/>
      </c>
      <c r="O91" s="56" t="str">
        <f ca="1">IF(OR(ISBLANK(#REF!), M91="Completed", M91="Closed", H91&lt;&gt;"Issue"), "",
   ( NETWORKDAYS.INTL(TODAY(), N91, 1,#REF!) - 1))</f>
        <v/>
      </c>
      <c r="P91" s="65" t="str">
        <f t="shared" ca="1" si="4"/>
        <v/>
      </c>
      <c r="Q91" s="57" t="str">
        <f t="shared" ca="1" si="5"/>
        <v/>
      </c>
    </row>
    <row r="92" spans="1:17" x14ac:dyDescent="0.3">
      <c r="A92" s="53"/>
      <c r="B92" s="53"/>
      <c r="C92" s="53"/>
      <c r="D92" s="53"/>
      <c r="E92" s="53"/>
      <c r="F92" s="53"/>
      <c r="G92" s="53"/>
      <c r="H92" s="53"/>
      <c r="I92" s="53" t="s">
        <v>71</v>
      </c>
      <c r="J92" s="54"/>
      <c r="K92" s="59"/>
      <c r="L92" s="59"/>
      <c r="M92" s="53"/>
      <c r="N92" s="55" t="str">
        <f>IF(ISBLANK(J92),"",IF(OR(M92="Completed",M92="Closed"),"",IF(H92="Issue",IF(I92="High",WORKDAY(J92,2,#REF!),IF(I92="Medium",WORKDAY(J92,14,#REF!),IF(OR(I92="Low"),WORKDAY(J92,30,#REF!),""))),
"")
))</f>
        <v/>
      </c>
      <c r="O92" s="56" t="str">
        <f ca="1">IF(OR(ISBLANK(#REF!), M92="Completed", M92="Closed", H92&lt;&gt;"Issue"), "",
   ( NETWORKDAYS.INTL(TODAY(), N92, 1,#REF!) - 1))</f>
        <v/>
      </c>
      <c r="P92" s="65" t="str">
        <f t="shared" ca="1" si="4"/>
        <v/>
      </c>
      <c r="Q92" s="57" t="str">
        <f t="shared" ca="1" si="5"/>
        <v/>
      </c>
    </row>
    <row r="93" spans="1:17" x14ac:dyDescent="0.3">
      <c r="A93" s="53"/>
      <c r="B93" s="53"/>
      <c r="C93" s="53"/>
      <c r="D93" s="53"/>
      <c r="E93" s="53"/>
      <c r="F93" s="53"/>
      <c r="G93" s="53"/>
      <c r="H93" s="53"/>
      <c r="I93" s="53" t="s">
        <v>71</v>
      </c>
      <c r="J93" s="54"/>
      <c r="K93" s="59"/>
      <c r="L93" s="59"/>
      <c r="M93" s="53"/>
      <c r="N93" s="55" t="str">
        <f>IF(ISBLANK(J93),"",IF(OR(M93="Completed",M93="Closed"),"",IF(H93="Issue",IF(I93="High",WORKDAY(J93,2,#REF!),IF(I93="Medium",WORKDAY(J93,14,#REF!),IF(OR(I93="Low"),WORKDAY(J93,30,#REF!),""))),
"")
))</f>
        <v/>
      </c>
      <c r="O93" s="56" t="str">
        <f ca="1">IF(OR(ISBLANK(#REF!), M93="Completed", M93="Closed", H93&lt;&gt;"Issue"), "",
   ( NETWORKDAYS.INTL(TODAY(), N93, 1,#REF!) - 1))</f>
        <v/>
      </c>
      <c r="P93" s="65" t="str">
        <f t="shared" ca="1" si="4"/>
        <v/>
      </c>
      <c r="Q93" s="57" t="str">
        <f t="shared" ca="1" si="5"/>
        <v/>
      </c>
    </row>
    <row r="94" spans="1:17" x14ac:dyDescent="0.3">
      <c r="A94" s="53"/>
      <c r="B94" s="53"/>
      <c r="C94" s="53"/>
      <c r="D94" s="53"/>
      <c r="E94" s="53"/>
      <c r="F94" s="53"/>
      <c r="G94" s="53"/>
      <c r="H94" s="53"/>
      <c r="I94" s="53" t="s">
        <v>71</v>
      </c>
      <c r="J94" s="54"/>
      <c r="K94" s="59"/>
      <c r="L94" s="59"/>
      <c r="M94" s="53"/>
      <c r="N94" s="55" t="str">
        <f>IF(ISBLANK(J94),"",IF(OR(M94="Completed",M94="Closed"),"",IF(H94="Issue",IF(I94="High",WORKDAY(J94,2,#REF!),IF(I94="Medium",WORKDAY(J94,14,#REF!),IF(OR(I94="Low"),WORKDAY(J94,30,#REF!),""))),
"")
))</f>
        <v/>
      </c>
      <c r="O94" s="56" t="str">
        <f ca="1">IF(OR(ISBLANK(#REF!), M94="Completed", M94="Closed", H94&lt;&gt;"Issue"), "",
   ( NETWORKDAYS.INTL(TODAY(), N94, 1,#REF!) - 1))</f>
        <v/>
      </c>
      <c r="P94" s="65" t="str">
        <f t="shared" ca="1" si="4"/>
        <v/>
      </c>
      <c r="Q94" s="57" t="str">
        <f t="shared" ca="1" si="5"/>
        <v/>
      </c>
    </row>
    <row r="95" spans="1:17" x14ac:dyDescent="0.3">
      <c r="A95" s="53"/>
      <c r="B95" s="53"/>
      <c r="C95" s="53"/>
      <c r="D95" s="53"/>
      <c r="E95" s="53"/>
      <c r="F95" s="53"/>
      <c r="G95" s="53"/>
      <c r="H95" s="53"/>
      <c r="I95" s="53" t="s">
        <v>71</v>
      </c>
      <c r="J95" s="54"/>
      <c r="K95" s="59"/>
      <c r="L95" s="59"/>
      <c r="M95" s="53"/>
      <c r="N95" s="55" t="str">
        <f>IF(ISBLANK(J95),"",IF(OR(M95="Completed",M95="Closed"),"",IF(H95="Issue",IF(I95="High",WORKDAY(J95,2,#REF!),IF(I95="Medium",WORKDAY(J95,14,#REF!),IF(OR(I95="Low"),WORKDAY(J95,30,#REF!),""))),
"")
))</f>
        <v/>
      </c>
      <c r="O95" s="56" t="str">
        <f ca="1">IF(OR(ISBLANK(#REF!), M95="Completed", M95="Closed", H95&lt;&gt;"Issue"), "",
   ( NETWORKDAYS.INTL(TODAY(), N95, 1,#REF!) - 1))</f>
        <v/>
      </c>
      <c r="P95" s="65" t="str">
        <f t="shared" ca="1" si="4"/>
        <v/>
      </c>
      <c r="Q95" s="57" t="str">
        <f t="shared" ca="1" si="5"/>
        <v/>
      </c>
    </row>
    <row r="96" spans="1:17" x14ac:dyDescent="0.3">
      <c r="I96" s="53" t="s">
        <v>71</v>
      </c>
      <c r="P96" s="65" t="str">
        <f t="shared" si="4"/>
        <v/>
      </c>
      <c r="Q96" s="57" t="str">
        <f t="shared" si="5"/>
        <v/>
      </c>
    </row>
    <row r="97" spans="9:17" x14ac:dyDescent="0.3">
      <c r="I97" s="53" t="s">
        <v>71</v>
      </c>
      <c r="P97" s="65" t="str">
        <f t="shared" si="4"/>
        <v/>
      </c>
      <c r="Q97" s="57" t="str">
        <f t="shared" si="5"/>
        <v/>
      </c>
    </row>
    <row r="98" spans="9:17" x14ac:dyDescent="0.3">
      <c r="I98" s="53" t="s">
        <v>71</v>
      </c>
      <c r="P98" s="65" t="str">
        <f t="shared" si="4"/>
        <v/>
      </c>
      <c r="Q98" s="57" t="str">
        <f t="shared" si="5"/>
        <v/>
      </c>
    </row>
    <row r="99" spans="9:17" x14ac:dyDescent="0.3">
      <c r="I99" s="53" t="s">
        <v>71</v>
      </c>
      <c r="P99" s="65" t="str">
        <f t="shared" si="4"/>
        <v/>
      </c>
      <c r="Q99" s="57" t="str">
        <f t="shared" si="5"/>
        <v/>
      </c>
    </row>
    <row r="100" spans="9:17" x14ac:dyDescent="0.3">
      <c r="I100" s="53" t="s">
        <v>71</v>
      </c>
      <c r="P100" s="65" t="str">
        <f t="shared" si="4"/>
        <v/>
      </c>
      <c r="Q100" s="57" t="str">
        <f t="shared" si="5"/>
        <v/>
      </c>
    </row>
    <row r="101" spans="9:17" x14ac:dyDescent="0.3">
      <c r="I101" s="53" t="s">
        <v>71</v>
      </c>
      <c r="P101" s="65" t="str">
        <f t="shared" si="4"/>
        <v/>
      </c>
      <c r="Q101" s="57" t="str">
        <f t="shared" si="5"/>
        <v/>
      </c>
    </row>
    <row r="102" spans="9:17" x14ac:dyDescent="0.3">
      <c r="I102" s="53" t="s">
        <v>71</v>
      </c>
      <c r="P102" s="65" t="str">
        <f t="shared" si="4"/>
        <v/>
      </c>
      <c r="Q102" s="57" t="str">
        <f t="shared" si="5"/>
        <v/>
      </c>
    </row>
    <row r="103" spans="9:17" x14ac:dyDescent="0.3">
      <c r="I103" s="53" t="s">
        <v>71</v>
      </c>
      <c r="P103" s="65" t="str">
        <f t="shared" si="4"/>
        <v/>
      </c>
      <c r="Q103" s="57" t="str">
        <f t="shared" si="5"/>
        <v/>
      </c>
    </row>
    <row r="104" spans="9:17" x14ac:dyDescent="0.3">
      <c r="I104" s="53" t="s">
        <v>71</v>
      </c>
      <c r="P104" s="65" t="str">
        <f t="shared" si="4"/>
        <v/>
      </c>
      <c r="Q104" s="57" t="str">
        <f t="shared" si="5"/>
        <v/>
      </c>
    </row>
    <row r="105" spans="9:17" x14ac:dyDescent="0.3">
      <c r="I105" s="53" t="s">
        <v>71</v>
      </c>
      <c r="P105" s="65" t="str">
        <f t="shared" si="4"/>
        <v/>
      </c>
      <c r="Q105" s="57" t="str">
        <f t="shared" si="5"/>
        <v/>
      </c>
    </row>
    <row r="106" spans="9:17" x14ac:dyDescent="0.3">
      <c r="I106" s="53" t="s">
        <v>71</v>
      </c>
      <c r="P106" s="65" t="str">
        <f t="shared" si="4"/>
        <v/>
      </c>
      <c r="Q106" s="57" t="str">
        <f t="shared" si="5"/>
        <v/>
      </c>
    </row>
    <row r="107" spans="9:17" x14ac:dyDescent="0.3">
      <c r="I107" s="53" t="s">
        <v>71</v>
      </c>
      <c r="P107" s="65" t="str">
        <f t="shared" si="4"/>
        <v/>
      </c>
      <c r="Q107" s="57" t="str">
        <f t="shared" si="5"/>
        <v/>
      </c>
    </row>
    <row r="108" spans="9:17" x14ac:dyDescent="0.3">
      <c r="I108" s="53" t="s">
        <v>71</v>
      </c>
      <c r="P108" s="65" t="str">
        <f t="shared" si="4"/>
        <v/>
      </c>
      <c r="Q108" s="57" t="str">
        <f t="shared" si="5"/>
        <v/>
      </c>
    </row>
    <row r="109" spans="9:17" x14ac:dyDescent="0.3">
      <c r="I109" s="53" t="s">
        <v>71</v>
      </c>
      <c r="P109" s="65" t="str">
        <f t="shared" si="4"/>
        <v/>
      </c>
      <c r="Q109" s="57" t="str">
        <f t="shared" si="5"/>
        <v/>
      </c>
    </row>
    <row r="110" spans="9:17" x14ac:dyDescent="0.3">
      <c r="I110" s="53" t="s">
        <v>71</v>
      </c>
      <c r="P110" s="65" t="str">
        <f t="shared" si="4"/>
        <v/>
      </c>
      <c r="Q110" s="57" t="str">
        <f t="shared" si="5"/>
        <v/>
      </c>
    </row>
    <row r="111" spans="9:17" x14ac:dyDescent="0.3">
      <c r="I111" s="53" t="s">
        <v>71</v>
      </c>
      <c r="P111" s="65" t="str">
        <f t="shared" si="4"/>
        <v/>
      </c>
      <c r="Q111" s="57" t="str">
        <f t="shared" si="5"/>
        <v/>
      </c>
    </row>
    <row r="112" spans="9:17" x14ac:dyDescent="0.3">
      <c r="I112" s="53" t="s">
        <v>71</v>
      </c>
      <c r="P112" s="65" t="str">
        <f t="shared" si="4"/>
        <v/>
      </c>
      <c r="Q112" s="57" t="str">
        <f t="shared" si="5"/>
        <v/>
      </c>
    </row>
    <row r="113" spans="9:17" x14ac:dyDescent="0.3">
      <c r="I113" s="53" t="s">
        <v>71</v>
      </c>
      <c r="P113" s="65" t="str">
        <f t="shared" si="4"/>
        <v/>
      </c>
      <c r="Q113" s="57" t="str">
        <f t="shared" si="5"/>
        <v/>
      </c>
    </row>
    <row r="114" spans="9:17" x14ac:dyDescent="0.3">
      <c r="I114" s="53" t="s">
        <v>71</v>
      </c>
      <c r="P114" s="65" t="str">
        <f t="shared" si="4"/>
        <v/>
      </c>
      <c r="Q114" s="57" t="str">
        <f t="shared" si="5"/>
        <v/>
      </c>
    </row>
    <row r="115" spans="9:17" x14ac:dyDescent="0.3">
      <c r="I115" s="53" t="s">
        <v>71</v>
      </c>
      <c r="P115" s="65" t="str">
        <f t="shared" si="4"/>
        <v/>
      </c>
      <c r="Q115" s="57" t="str">
        <f t="shared" si="5"/>
        <v/>
      </c>
    </row>
    <row r="116" spans="9:17" x14ac:dyDescent="0.3">
      <c r="I116" s="53" t="s">
        <v>71</v>
      </c>
      <c r="P116" s="65" t="str">
        <f t="shared" si="4"/>
        <v/>
      </c>
      <c r="Q116" s="57" t="str">
        <f t="shared" si="5"/>
        <v/>
      </c>
    </row>
    <row r="117" spans="9:17" x14ac:dyDescent="0.3">
      <c r="I117" s="53" t="s">
        <v>71</v>
      </c>
      <c r="P117" s="65" t="str">
        <f t="shared" si="4"/>
        <v/>
      </c>
      <c r="Q117" s="57" t="str">
        <f t="shared" si="5"/>
        <v/>
      </c>
    </row>
    <row r="118" spans="9:17" x14ac:dyDescent="0.3">
      <c r="I118" s="53" t="s">
        <v>71</v>
      </c>
      <c r="P118" s="65" t="str">
        <f t="shared" si="4"/>
        <v/>
      </c>
      <c r="Q118" s="57" t="str">
        <f t="shared" si="5"/>
        <v/>
      </c>
    </row>
    <row r="119" spans="9:17" x14ac:dyDescent="0.3">
      <c r="I119" s="53" t="s">
        <v>71</v>
      </c>
      <c r="P119" s="65" t="str">
        <f t="shared" si="4"/>
        <v/>
      </c>
      <c r="Q119" s="57" t="str">
        <f t="shared" si="5"/>
        <v/>
      </c>
    </row>
    <row r="120" spans="9:17" x14ac:dyDescent="0.3">
      <c r="I120" s="53" t="s">
        <v>71</v>
      </c>
      <c r="P120" s="65" t="str">
        <f t="shared" si="4"/>
        <v/>
      </c>
      <c r="Q120" s="57" t="str">
        <f t="shared" si="5"/>
        <v/>
      </c>
    </row>
    <row r="121" spans="9:17" x14ac:dyDescent="0.3">
      <c r="I121" s="53" t="s">
        <v>71</v>
      </c>
      <c r="P121" s="65" t="str">
        <f t="shared" si="4"/>
        <v/>
      </c>
      <c r="Q121" s="57" t="str">
        <f t="shared" si="5"/>
        <v/>
      </c>
    </row>
    <row r="122" spans="9:17" x14ac:dyDescent="0.3">
      <c r="I122" s="53" t="s">
        <v>71</v>
      </c>
      <c r="P122" s="65" t="str">
        <f t="shared" si="4"/>
        <v/>
      </c>
      <c r="Q122" s="57" t="str">
        <f t="shared" si="5"/>
        <v/>
      </c>
    </row>
    <row r="123" spans="9:17" x14ac:dyDescent="0.3">
      <c r="I123" s="53" t="s">
        <v>71</v>
      </c>
      <c r="P123" s="65" t="str">
        <f t="shared" si="4"/>
        <v/>
      </c>
      <c r="Q123" s="57" t="str">
        <f t="shared" si="5"/>
        <v/>
      </c>
    </row>
    <row r="124" spans="9:17" x14ac:dyDescent="0.3">
      <c r="I124" s="53" t="s">
        <v>71</v>
      </c>
      <c r="P124" s="65" t="str">
        <f t="shared" si="4"/>
        <v/>
      </c>
      <c r="Q124" s="57" t="str">
        <f t="shared" si="5"/>
        <v/>
      </c>
    </row>
    <row r="125" spans="9:17" x14ac:dyDescent="0.3">
      <c r="I125" s="53" t="s">
        <v>71</v>
      </c>
      <c r="P125" s="65" t="str">
        <f t="shared" si="4"/>
        <v/>
      </c>
      <c r="Q125" s="57" t="str">
        <f t="shared" si="5"/>
        <v/>
      </c>
    </row>
    <row r="126" spans="9:17" x14ac:dyDescent="0.3">
      <c r="I126" s="53" t="s">
        <v>71</v>
      </c>
      <c r="P126" s="65" t="str">
        <f t="shared" si="4"/>
        <v/>
      </c>
      <c r="Q126" s="57" t="str">
        <f t="shared" si="5"/>
        <v/>
      </c>
    </row>
    <row r="127" spans="9:17" x14ac:dyDescent="0.3">
      <c r="I127" s="53" t="s">
        <v>71</v>
      </c>
      <c r="P127" s="65" t="str">
        <f t="shared" si="4"/>
        <v/>
      </c>
      <c r="Q127" s="57" t="str">
        <f t="shared" si="5"/>
        <v/>
      </c>
    </row>
    <row r="128" spans="9:17" x14ac:dyDescent="0.3">
      <c r="I128" s="53" t="s">
        <v>71</v>
      </c>
      <c r="P128" s="65" t="str">
        <f t="shared" si="4"/>
        <v/>
      </c>
      <c r="Q128" s="57" t="str">
        <f t="shared" si="5"/>
        <v/>
      </c>
    </row>
    <row r="129" spans="9:17" x14ac:dyDescent="0.3">
      <c r="I129" s="53" t="s">
        <v>71</v>
      </c>
      <c r="P129" s="65" t="str">
        <f t="shared" si="4"/>
        <v/>
      </c>
      <c r="Q129" s="57" t="str">
        <f t="shared" si="5"/>
        <v/>
      </c>
    </row>
    <row r="130" spans="9:17" x14ac:dyDescent="0.3">
      <c r="I130" s="53" t="s">
        <v>71</v>
      </c>
      <c r="P130" s="65" t="str">
        <f t="shared" si="4"/>
        <v/>
      </c>
      <c r="Q130" s="57" t="str">
        <f t="shared" si="5"/>
        <v/>
      </c>
    </row>
    <row r="131" spans="9:17" x14ac:dyDescent="0.3">
      <c r="I131" s="53" t="s">
        <v>71</v>
      </c>
      <c r="P131" s="65" t="str">
        <f t="shared" si="4"/>
        <v/>
      </c>
      <c r="Q131" s="57" t="str">
        <f t="shared" si="5"/>
        <v/>
      </c>
    </row>
    <row r="132" spans="9:17" x14ac:dyDescent="0.3">
      <c r="I132" s="53" t="s">
        <v>71</v>
      </c>
      <c r="P132" s="65" t="str">
        <f t="shared" ref="P132:P190" si="6">IF(O132="","",LEFT(O132,10)*(-1))</f>
        <v/>
      </c>
      <c r="Q132" s="57" t="str">
        <f t="shared" si="5"/>
        <v/>
      </c>
    </row>
    <row r="133" spans="9:17" x14ac:dyDescent="0.3">
      <c r="I133" s="53" t="s">
        <v>71</v>
      </c>
      <c r="P133" s="65" t="str">
        <f t="shared" si="6"/>
        <v/>
      </c>
      <c r="Q133" s="57" t="str">
        <f t="shared" si="5"/>
        <v/>
      </c>
    </row>
    <row r="134" spans="9:17" x14ac:dyDescent="0.3">
      <c r="I134" s="53" t="s">
        <v>71</v>
      </c>
      <c r="P134" s="65" t="str">
        <f t="shared" si="6"/>
        <v/>
      </c>
      <c r="Q134" s="57" t="str">
        <f t="shared" si="5"/>
        <v/>
      </c>
    </row>
    <row r="135" spans="9:17" x14ac:dyDescent="0.3">
      <c r="I135" s="53" t="s">
        <v>71</v>
      </c>
      <c r="P135" s="65" t="str">
        <f t="shared" si="6"/>
        <v/>
      </c>
      <c r="Q135" s="57" t="str">
        <f t="shared" si="5"/>
        <v/>
      </c>
    </row>
    <row r="136" spans="9:17" x14ac:dyDescent="0.3">
      <c r="I136" s="53" t="s">
        <v>71</v>
      </c>
      <c r="P136" s="65" t="str">
        <f t="shared" si="6"/>
        <v/>
      </c>
      <c r="Q136" s="57" t="str">
        <f t="shared" si="5"/>
        <v/>
      </c>
    </row>
    <row r="137" spans="9:17" x14ac:dyDescent="0.3">
      <c r="I137" s="53" t="s">
        <v>71</v>
      </c>
      <c r="P137" s="65" t="str">
        <f t="shared" si="6"/>
        <v/>
      </c>
      <c r="Q137" s="57" t="str">
        <f t="shared" si="5"/>
        <v/>
      </c>
    </row>
    <row r="138" spans="9:17" x14ac:dyDescent="0.3">
      <c r="I138" s="53" t="s">
        <v>71</v>
      </c>
      <c r="P138" s="65" t="str">
        <f t="shared" si="6"/>
        <v/>
      </c>
      <c r="Q138" s="57" t="str">
        <f t="shared" si="5"/>
        <v/>
      </c>
    </row>
    <row r="139" spans="9:17" x14ac:dyDescent="0.3">
      <c r="I139" s="53" t="s">
        <v>71</v>
      </c>
      <c r="P139" s="65" t="str">
        <f t="shared" si="6"/>
        <v/>
      </c>
      <c r="Q139" s="57" t="str">
        <f t="shared" si="5"/>
        <v/>
      </c>
    </row>
    <row r="140" spans="9:17" x14ac:dyDescent="0.3">
      <c r="I140" s="53" t="s">
        <v>71</v>
      </c>
      <c r="P140" s="65" t="str">
        <f t="shared" si="6"/>
        <v/>
      </c>
      <c r="Q140" s="57" t="str">
        <f t="shared" si="5"/>
        <v/>
      </c>
    </row>
    <row r="141" spans="9:17" x14ac:dyDescent="0.3">
      <c r="I141" s="53" t="s">
        <v>71</v>
      </c>
      <c r="P141" s="65" t="str">
        <f t="shared" si="6"/>
        <v/>
      </c>
      <c r="Q141" s="57" t="str">
        <f t="shared" si="5"/>
        <v/>
      </c>
    </row>
    <row r="142" spans="9:17" x14ac:dyDescent="0.3">
      <c r="I142" s="53" t="s">
        <v>71</v>
      </c>
      <c r="P142" s="65" t="str">
        <f t="shared" si="6"/>
        <v/>
      </c>
      <c r="Q142" s="57" t="str">
        <f t="shared" si="5"/>
        <v/>
      </c>
    </row>
    <row r="143" spans="9:17" x14ac:dyDescent="0.3">
      <c r="I143" s="53" t="s">
        <v>71</v>
      </c>
      <c r="P143" s="65" t="str">
        <f t="shared" si="6"/>
        <v/>
      </c>
      <c r="Q143" s="57" t="str">
        <f t="shared" si="5"/>
        <v/>
      </c>
    </row>
    <row r="144" spans="9:17" x14ac:dyDescent="0.3">
      <c r="I144" s="53" t="s">
        <v>71</v>
      </c>
      <c r="P144" s="65" t="str">
        <f t="shared" si="6"/>
        <v/>
      </c>
      <c r="Q144" s="57" t="str">
        <f t="shared" ref="Q144:Q190" si="7">IF(P144="","",
IF(P144&lt;=30,"1-30 Days",
IF(AND(P144&gt;=31,P144&lt;=60),"31-60 Days",
"&gt;60 Days")))</f>
        <v/>
      </c>
    </row>
    <row r="145" spans="9:17" x14ac:dyDescent="0.3">
      <c r="I145" s="53" t="s">
        <v>71</v>
      </c>
      <c r="P145" s="65" t="str">
        <f t="shared" si="6"/>
        <v/>
      </c>
      <c r="Q145" s="57" t="str">
        <f t="shared" si="7"/>
        <v/>
      </c>
    </row>
    <row r="146" spans="9:17" x14ac:dyDescent="0.3">
      <c r="I146" s="53" t="s">
        <v>71</v>
      </c>
      <c r="P146" s="65" t="str">
        <f t="shared" si="6"/>
        <v/>
      </c>
      <c r="Q146" s="57" t="str">
        <f t="shared" si="7"/>
        <v/>
      </c>
    </row>
    <row r="147" spans="9:17" x14ac:dyDescent="0.3">
      <c r="I147" s="53" t="s">
        <v>71</v>
      </c>
      <c r="P147" s="65" t="str">
        <f t="shared" si="6"/>
        <v/>
      </c>
      <c r="Q147" s="57" t="str">
        <f t="shared" si="7"/>
        <v/>
      </c>
    </row>
    <row r="148" spans="9:17" x14ac:dyDescent="0.3">
      <c r="I148" s="53" t="s">
        <v>71</v>
      </c>
      <c r="P148" s="65" t="str">
        <f t="shared" si="6"/>
        <v/>
      </c>
      <c r="Q148" s="57" t="str">
        <f t="shared" si="7"/>
        <v/>
      </c>
    </row>
    <row r="149" spans="9:17" x14ac:dyDescent="0.3">
      <c r="I149" s="53" t="s">
        <v>71</v>
      </c>
      <c r="P149" s="65" t="str">
        <f t="shared" si="6"/>
        <v/>
      </c>
      <c r="Q149" s="57" t="str">
        <f t="shared" si="7"/>
        <v/>
      </c>
    </row>
    <row r="150" spans="9:17" x14ac:dyDescent="0.3">
      <c r="I150" s="53" t="s">
        <v>71</v>
      </c>
      <c r="P150" s="65" t="str">
        <f t="shared" si="6"/>
        <v/>
      </c>
      <c r="Q150" s="57" t="str">
        <f t="shared" si="7"/>
        <v/>
      </c>
    </row>
    <row r="151" spans="9:17" x14ac:dyDescent="0.3">
      <c r="I151" s="53" t="s">
        <v>71</v>
      </c>
      <c r="P151" s="65" t="str">
        <f t="shared" si="6"/>
        <v/>
      </c>
      <c r="Q151" s="57" t="str">
        <f t="shared" si="7"/>
        <v/>
      </c>
    </row>
    <row r="152" spans="9:17" x14ac:dyDescent="0.3">
      <c r="I152" s="53" t="s">
        <v>71</v>
      </c>
      <c r="P152" s="65" t="str">
        <f t="shared" si="6"/>
        <v/>
      </c>
      <c r="Q152" s="57" t="str">
        <f t="shared" si="7"/>
        <v/>
      </c>
    </row>
    <row r="153" spans="9:17" x14ac:dyDescent="0.3">
      <c r="I153" s="53" t="s">
        <v>71</v>
      </c>
      <c r="P153" s="65" t="str">
        <f t="shared" si="6"/>
        <v/>
      </c>
      <c r="Q153" s="57" t="str">
        <f t="shared" si="7"/>
        <v/>
      </c>
    </row>
    <row r="154" spans="9:17" x14ac:dyDescent="0.3">
      <c r="I154" s="53" t="s">
        <v>71</v>
      </c>
      <c r="P154" s="65" t="str">
        <f t="shared" si="6"/>
        <v/>
      </c>
      <c r="Q154" s="57" t="str">
        <f t="shared" si="7"/>
        <v/>
      </c>
    </row>
    <row r="155" spans="9:17" x14ac:dyDescent="0.3">
      <c r="I155" s="53" t="s">
        <v>71</v>
      </c>
      <c r="P155" s="65" t="str">
        <f t="shared" si="6"/>
        <v/>
      </c>
      <c r="Q155" s="57" t="str">
        <f t="shared" si="7"/>
        <v/>
      </c>
    </row>
    <row r="156" spans="9:17" x14ac:dyDescent="0.3">
      <c r="I156" s="53" t="s">
        <v>71</v>
      </c>
      <c r="P156" s="65" t="str">
        <f t="shared" si="6"/>
        <v/>
      </c>
      <c r="Q156" s="57" t="str">
        <f t="shared" si="7"/>
        <v/>
      </c>
    </row>
    <row r="157" spans="9:17" x14ac:dyDescent="0.3">
      <c r="I157" s="53" t="s">
        <v>71</v>
      </c>
      <c r="P157" s="65" t="str">
        <f t="shared" si="6"/>
        <v/>
      </c>
      <c r="Q157" s="57" t="str">
        <f t="shared" si="7"/>
        <v/>
      </c>
    </row>
    <row r="158" spans="9:17" x14ac:dyDescent="0.3">
      <c r="I158" s="53" t="s">
        <v>71</v>
      </c>
      <c r="P158" s="65" t="str">
        <f t="shared" si="6"/>
        <v/>
      </c>
      <c r="Q158" s="57" t="str">
        <f t="shared" si="7"/>
        <v/>
      </c>
    </row>
    <row r="159" spans="9:17" x14ac:dyDescent="0.3">
      <c r="I159" s="53" t="s">
        <v>71</v>
      </c>
      <c r="P159" s="65" t="str">
        <f t="shared" si="6"/>
        <v/>
      </c>
      <c r="Q159" s="57" t="str">
        <f t="shared" si="7"/>
        <v/>
      </c>
    </row>
    <row r="160" spans="9:17" x14ac:dyDescent="0.3">
      <c r="I160" s="53" t="s">
        <v>71</v>
      </c>
      <c r="P160" s="65" t="str">
        <f t="shared" si="6"/>
        <v/>
      </c>
      <c r="Q160" s="57" t="str">
        <f t="shared" si="7"/>
        <v/>
      </c>
    </row>
    <row r="161" spans="9:17" x14ac:dyDescent="0.3">
      <c r="I161" s="53" t="s">
        <v>71</v>
      </c>
      <c r="P161" s="65" t="str">
        <f t="shared" si="6"/>
        <v/>
      </c>
      <c r="Q161" s="57" t="str">
        <f t="shared" si="7"/>
        <v/>
      </c>
    </row>
    <row r="162" spans="9:17" x14ac:dyDescent="0.3">
      <c r="I162" s="53" t="s">
        <v>71</v>
      </c>
      <c r="P162" s="65" t="str">
        <f t="shared" si="6"/>
        <v/>
      </c>
      <c r="Q162" s="57" t="str">
        <f t="shared" si="7"/>
        <v/>
      </c>
    </row>
    <row r="163" spans="9:17" x14ac:dyDescent="0.3">
      <c r="I163" s="53" t="s">
        <v>71</v>
      </c>
      <c r="P163" s="65" t="str">
        <f t="shared" si="6"/>
        <v/>
      </c>
      <c r="Q163" s="57" t="str">
        <f t="shared" si="7"/>
        <v/>
      </c>
    </row>
    <row r="164" spans="9:17" x14ac:dyDescent="0.3">
      <c r="I164" s="53" t="s">
        <v>71</v>
      </c>
      <c r="P164" s="65" t="str">
        <f t="shared" si="6"/>
        <v/>
      </c>
      <c r="Q164" s="57" t="str">
        <f t="shared" si="7"/>
        <v/>
      </c>
    </row>
    <row r="165" spans="9:17" x14ac:dyDescent="0.3">
      <c r="I165" s="53" t="s">
        <v>71</v>
      </c>
      <c r="P165" s="65" t="str">
        <f t="shared" si="6"/>
        <v/>
      </c>
      <c r="Q165" s="57" t="str">
        <f t="shared" si="7"/>
        <v/>
      </c>
    </row>
    <row r="166" spans="9:17" x14ac:dyDescent="0.3">
      <c r="I166" s="53" t="s">
        <v>71</v>
      </c>
      <c r="P166" s="65" t="str">
        <f t="shared" si="6"/>
        <v/>
      </c>
      <c r="Q166" s="57" t="str">
        <f t="shared" si="7"/>
        <v/>
      </c>
    </row>
    <row r="167" spans="9:17" x14ac:dyDescent="0.3">
      <c r="I167" s="53" t="s">
        <v>71</v>
      </c>
      <c r="P167" s="65" t="str">
        <f t="shared" si="6"/>
        <v/>
      </c>
      <c r="Q167" s="57" t="str">
        <f t="shared" si="7"/>
        <v/>
      </c>
    </row>
    <row r="168" spans="9:17" x14ac:dyDescent="0.3">
      <c r="I168" s="53" t="s">
        <v>71</v>
      </c>
      <c r="P168" s="65" t="str">
        <f t="shared" si="6"/>
        <v/>
      </c>
      <c r="Q168" s="57" t="str">
        <f t="shared" si="7"/>
        <v/>
      </c>
    </row>
    <row r="169" spans="9:17" x14ac:dyDescent="0.3">
      <c r="I169" s="53" t="s">
        <v>71</v>
      </c>
      <c r="P169" s="65" t="str">
        <f t="shared" si="6"/>
        <v/>
      </c>
      <c r="Q169" s="57" t="str">
        <f t="shared" si="7"/>
        <v/>
      </c>
    </row>
    <row r="170" spans="9:17" x14ac:dyDescent="0.3">
      <c r="I170" s="53" t="s">
        <v>71</v>
      </c>
      <c r="P170" s="65" t="str">
        <f t="shared" si="6"/>
        <v/>
      </c>
      <c r="Q170" s="57" t="str">
        <f t="shared" si="7"/>
        <v/>
      </c>
    </row>
    <row r="171" spans="9:17" x14ac:dyDescent="0.3">
      <c r="I171" s="53" t="s">
        <v>71</v>
      </c>
      <c r="P171" s="65" t="str">
        <f t="shared" si="6"/>
        <v/>
      </c>
      <c r="Q171" s="57" t="str">
        <f t="shared" si="7"/>
        <v/>
      </c>
    </row>
    <row r="172" spans="9:17" x14ac:dyDescent="0.3">
      <c r="I172" s="53" t="s">
        <v>71</v>
      </c>
      <c r="P172" s="65" t="str">
        <f t="shared" si="6"/>
        <v/>
      </c>
      <c r="Q172" s="57" t="str">
        <f t="shared" si="7"/>
        <v/>
      </c>
    </row>
    <row r="173" spans="9:17" x14ac:dyDescent="0.3">
      <c r="I173" s="53" t="s">
        <v>71</v>
      </c>
      <c r="P173" s="65" t="str">
        <f t="shared" si="6"/>
        <v/>
      </c>
      <c r="Q173" s="57" t="str">
        <f t="shared" si="7"/>
        <v/>
      </c>
    </row>
    <row r="174" spans="9:17" x14ac:dyDescent="0.3">
      <c r="I174" s="53" t="s">
        <v>71</v>
      </c>
      <c r="P174" s="65" t="str">
        <f t="shared" si="6"/>
        <v/>
      </c>
      <c r="Q174" s="57" t="str">
        <f t="shared" si="7"/>
        <v/>
      </c>
    </row>
    <row r="175" spans="9:17" x14ac:dyDescent="0.3">
      <c r="I175" s="53" t="s">
        <v>71</v>
      </c>
      <c r="P175" s="65" t="str">
        <f t="shared" si="6"/>
        <v/>
      </c>
      <c r="Q175" s="57" t="str">
        <f t="shared" si="7"/>
        <v/>
      </c>
    </row>
    <row r="176" spans="9:17" x14ac:dyDescent="0.3">
      <c r="I176" s="53" t="s">
        <v>71</v>
      </c>
      <c r="P176" s="65" t="str">
        <f t="shared" si="6"/>
        <v/>
      </c>
      <c r="Q176" s="57" t="str">
        <f t="shared" si="7"/>
        <v/>
      </c>
    </row>
    <row r="177" spans="9:17" x14ac:dyDescent="0.3">
      <c r="I177" s="53" t="s">
        <v>71</v>
      </c>
      <c r="P177" s="65" t="str">
        <f t="shared" si="6"/>
        <v/>
      </c>
      <c r="Q177" s="57" t="str">
        <f t="shared" si="7"/>
        <v/>
      </c>
    </row>
    <row r="178" spans="9:17" x14ac:dyDescent="0.3">
      <c r="I178" s="53" t="s">
        <v>71</v>
      </c>
      <c r="P178" s="65" t="str">
        <f t="shared" si="6"/>
        <v/>
      </c>
      <c r="Q178" s="57" t="str">
        <f t="shared" si="7"/>
        <v/>
      </c>
    </row>
    <row r="179" spans="9:17" x14ac:dyDescent="0.3">
      <c r="I179" s="53" t="s">
        <v>71</v>
      </c>
      <c r="P179" s="65" t="str">
        <f t="shared" si="6"/>
        <v/>
      </c>
      <c r="Q179" s="57" t="str">
        <f t="shared" si="7"/>
        <v/>
      </c>
    </row>
    <row r="180" spans="9:17" x14ac:dyDescent="0.3">
      <c r="I180" s="53" t="s">
        <v>71</v>
      </c>
      <c r="P180" s="65" t="str">
        <f t="shared" si="6"/>
        <v/>
      </c>
      <c r="Q180" s="57" t="str">
        <f t="shared" si="7"/>
        <v/>
      </c>
    </row>
    <row r="181" spans="9:17" x14ac:dyDescent="0.3">
      <c r="I181" s="53" t="s">
        <v>71</v>
      </c>
      <c r="P181" s="65" t="str">
        <f t="shared" si="6"/>
        <v/>
      </c>
      <c r="Q181" s="57" t="str">
        <f t="shared" si="7"/>
        <v/>
      </c>
    </row>
    <row r="182" spans="9:17" x14ac:dyDescent="0.3">
      <c r="I182" s="53" t="s">
        <v>71</v>
      </c>
      <c r="P182" s="65" t="str">
        <f t="shared" si="6"/>
        <v/>
      </c>
      <c r="Q182" s="57" t="str">
        <f t="shared" si="7"/>
        <v/>
      </c>
    </row>
    <row r="183" spans="9:17" x14ac:dyDescent="0.3">
      <c r="I183" s="53" t="s">
        <v>71</v>
      </c>
      <c r="P183" s="65" t="str">
        <f t="shared" si="6"/>
        <v/>
      </c>
      <c r="Q183" s="57" t="str">
        <f t="shared" si="7"/>
        <v/>
      </c>
    </row>
    <row r="184" spans="9:17" x14ac:dyDescent="0.3">
      <c r="I184" s="53" t="s">
        <v>71</v>
      </c>
      <c r="P184" s="65" t="str">
        <f t="shared" si="6"/>
        <v/>
      </c>
      <c r="Q184" s="57" t="str">
        <f t="shared" si="7"/>
        <v/>
      </c>
    </row>
    <row r="185" spans="9:17" x14ac:dyDescent="0.3">
      <c r="I185" s="53" t="s">
        <v>71</v>
      </c>
      <c r="P185" s="65" t="str">
        <f t="shared" si="6"/>
        <v/>
      </c>
      <c r="Q185" s="57" t="str">
        <f t="shared" si="7"/>
        <v/>
      </c>
    </row>
    <row r="186" spans="9:17" x14ac:dyDescent="0.3">
      <c r="I186" s="53" t="s">
        <v>71</v>
      </c>
      <c r="P186" s="65" t="str">
        <f t="shared" si="6"/>
        <v/>
      </c>
      <c r="Q186" s="57" t="str">
        <f t="shared" si="7"/>
        <v/>
      </c>
    </row>
    <row r="187" spans="9:17" x14ac:dyDescent="0.3">
      <c r="I187" s="53" t="s">
        <v>71</v>
      </c>
      <c r="P187" s="65" t="str">
        <f t="shared" si="6"/>
        <v/>
      </c>
      <c r="Q187" s="57" t="str">
        <f t="shared" si="7"/>
        <v/>
      </c>
    </row>
    <row r="188" spans="9:17" x14ac:dyDescent="0.3">
      <c r="I188" s="53" t="s">
        <v>71</v>
      </c>
      <c r="P188" s="65" t="str">
        <f t="shared" si="6"/>
        <v/>
      </c>
      <c r="Q188" s="57" t="str">
        <f t="shared" si="7"/>
        <v/>
      </c>
    </row>
    <row r="189" spans="9:17" x14ac:dyDescent="0.3">
      <c r="I189" s="53" t="s">
        <v>71</v>
      </c>
      <c r="P189" s="65" t="str">
        <f t="shared" si="6"/>
        <v/>
      </c>
      <c r="Q189" s="57" t="str">
        <f t="shared" si="7"/>
        <v/>
      </c>
    </row>
    <row r="190" spans="9:17" x14ac:dyDescent="0.3">
      <c r="I190" s="53" t="s">
        <v>71</v>
      </c>
      <c r="P190" s="65" t="str">
        <f t="shared" si="6"/>
        <v/>
      </c>
      <c r="Q190" s="57" t="str">
        <f t="shared" si="7"/>
        <v/>
      </c>
    </row>
  </sheetData>
  <dataValidations count="3">
    <dataValidation type="list" allowBlank="1" showInputMessage="1" showErrorMessage="1" sqref="I3:I190" xr:uid="{F7383C08-E3A5-4C3E-8730-CCD3BF489B65}">
      <formula1>"High, Medium, Low"</formula1>
    </dataValidation>
    <dataValidation type="list" allowBlank="1" showInputMessage="1" showErrorMessage="1" sqref="M3:M95" xr:uid="{4908D4A3-8915-42CF-AF13-5B57998281C5}">
      <formula1>"Pending, InProgress, Completed, Closed"</formula1>
    </dataValidation>
    <dataValidation type="list" allowBlank="1" showInputMessage="1" showErrorMessage="1" sqref="H3" xr:uid="{95DF28FB-BA1F-4CEC-A97C-49E624371CD7}">
      <formula1>"Issue, Modification, Information, Change Request, Quotation"</formula1>
    </dataValidation>
  </dataValidations>
  <hyperlinks>
    <hyperlink ref="A1" location="'All clients'!A1" display="&lt;---" xr:uid="{5133F21D-74E2-489F-B0A4-0B1659C32549}"/>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2FBB6-AA3F-437E-9CCA-E14CA53C7251}">
  <dimension ref="A1:D6"/>
  <sheetViews>
    <sheetView workbookViewId="0">
      <selection activeCell="D11" sqref="D11"/>
    </sheetView>
  </sheetViews>
  <sheetFormatPr defaultRowHeight="15.6" x14ac:dyDescent="0.3"/>
  <cols>
    <col min="2" max="2" width="35.3984375" customWidth="1"/>
    <col min="3" max="3" width="17.59765625" customWidth="1"/>
    <col min="4" max="4" width="17.5" customWidth="1"/>
  </cols>
  <sheetData>
    <row r="1" spans="1:4" x14ac:dyDescent="0.3">
      <c r="A1" s="178" t="s">
        <v>52</v>
      </c>
      <c r="B1" s="178" t="s">
        <v>389</v>
      </c>
      <c r="C1" s="178" t="s">
        <v>391</v>
      </c>
      <c r="D1" s="178" t="s">
        <v>390</v>
      </c>
    </row>
    <row r="2" spans="1:4" ht="23.4" customHeight="1" x14ac:dyDescent="0.3">
      <c r="A2" s="67">
        <v>1</v>
      </c>
      <c r="B2" s="67" t="s">
        <v>384</v>
      </c>
      <c r="C2" s="67" t="s">
        <v>392</v>
      </c>
      <c r="D2" s="179">
        <v>46295</v>
      </c>
    </row>
    <row r="3" spans="1:4" ht="37.200000000000003" customHeight="1" x14ac:dyDescent="0.3">
      <c r="A3" s="67">
        <v>2</v>
      </c>
      <c r="B3" s="180" t="s">
        <v>385</v>
      </c>
      <c r="C3" s="67" t="s">
        <v>392</v>
      </c>
      <c r="D3" s="179">
        <v>46295</v>
      </c>
    </row>
    <row r="4" spans="1:4" ht="25.8" customHeight="1" x14ac:dyDescent="0.3">
      <c r="A4" s="67">
        <v>3</v>
      </c>
      <c r="B4" s="67" t="s">
        <v>386</v>
      </c>
      <c r="C4" s="67" t="s">
        <v>392</v>
      </c>
      <c r="D4" s="179">
        <v>46295</v>
      </c>
    </row>
    <row r="5" spans="1:4" ht="25.2" customHeight="1" x14ac:dyDescent="0.3">
      <c r="A5" s="67">
        <v>4</v>
      </c>
      <c r="B5" s="67" t="s">
        <v>387</v>
      </c>
      <c r="C5" s="67" t="s">
        <v>392</v>
      </c>
      <c r="D5" s="179">
        <v>46295</v>
      </c>
    </row>
    <row r="6" spans="1:4" ht="39" customHeight="1" x14ac:dyDescent="0.3">
      <c r="A6" s="67">
        <v>5</v>
      </c>
      <c r="B6" s="180" t="s">
        <v>388</v>
      </c>
      <c r="C6" s="67" t="s">
        <v>392</v>
      </c>
      <c r="D6" s="179">
        <v>46295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0CF7C-173F-46FE-97E5-BCA31CE5077A}">
  <dimension ref="A1:N27"/>
  <sheetViews>
    <sheetView topLeftCell="A4" workbookViewId="0">
      <selection activeCell="A13" sqref="A13:G13"/>
    </sheetView>
  </sheetViews>
  <sheetFormatPr defaultRowHeight="15.6" x14ac:dyDescent="0.3"/>
  <cols>
    <col min="1" max="1" width="12" customWidth="1"/>
    <col min="2" max="2" width="19" customWidth="1"/>
    <col min="3" max="3" width="20.3984375" customWidth="1"/>
    <col min="4" max="4" width="13.796875" customWidth="1"/>
    <col min="5" max="5" width="13.59765625" customWidth="1"/>
    <col min="6" max="6" width="14.3984375" customWidth="1"/>
    <col min="7" max="7" width="17.796875" customWidth="1"/>
    <col min="13" max="14" width="10.5" bestFit="1" customWidth="1"/>
  </cols>
  <sheetData>
    <row r="1" spans="1:14" s="104" customFormat="1" x14ac:dyDescent="0.3">
      <c r="A1" s="104" t="s">
        <v>280</v>
      </c>
      <c r="B1" s="104" t="s">
        <v>284</v>
      </c>
      <c r="C1" s="104" t="s">
        <v>285</v>
      </c>
      <c r="D1" s="104" t="s">
        <v>304</v>
      </c>
      <c r="E1" s="104" t="s">
        <v>282</v>
      </c>
      <c r="F1" s="104" t="s">
        <v>283</v>
      </c>
      <c r="G1" s="104" t="s">
        <v>335</v>
      </c>
    </row>
    <row r="2" spans="1:14" x14ac:dyDescent="0.3">
      <c r="A2" t="s">
        <v>47</v>
      </c>
      <c r="B2" t="s">
        <v>293</v>
      </c>
      <c r="C2" t="s">
        <v>305</v>
      </c>
      <c r="D2" t="s">
        <v>69</v>
      </c>
      <c r="E2" s="103">
        <v>44562</v>
      </c>
      <c r="F2" s="103">
        <v>44926</v>
      </c>
      <c r="G2" t="s">
        <v>336</v>
      </c>
      <c r="M2" s="103"/>
      <c r="N2" s="103"/>
    </row>
    <row r="3" spans="1:14" x14ac:dyDescent="0.3">
      <c r="A3" t="s">
        <v>47</v>
      </c>
      <c r="B3" t="s">
        <v>301</v>
      </c>
      <c r="C3" t="s">
        <v>305</v>
      </c>
      <c r="D3" t="s">
        <v>69</v>
      </c>
      <c r="E3" s="103">
        <v>44927</v>
      </c>
      <c r="F3" s="103">
        <v>45657</v>
      </c>
      <c r="G3" t="s">
        <v>336</v>
      </c>
      <c r="M3" s="103"/>
      <c r="N3" s="103"/>
    </row>
    <row r="4" spans="1:14" x14ac:dyDescent="0.3">
      <c r="A4" t="s">
        <v>47</v>
      </c>
      <c r="B4" t="s">
        <v>302</v>
      </c>
      <c r="C4" t="s">
        <v>305</v>
      </c>
      <c r="D4" t="s">
        <v>69</v>
      </c>
      <c r="E4" s="103">
        <v>45658</v>
      </c>
      <c r="F4" s="103">
        <v>46022</v>
      </c>
      <c r="G4" t="s">
        <v>336</v>
      </c>
      <c r="M4" s="103"/>
      <c r="N4" s="103"/>
    </row>
    <row r="5" spans="1:14" x14ac:dyDescent="0.3">
      <c r="A5" t="s">
        <v>47</v>
      </c>
      <c r="B5" t="s">
        <v>303</v>
      </c>
      <c r="C5" t="s">
        <v>305</v>
      </c>
      <c r="D5" t="s">
        <v>69</v>
      </c>
      <c r="E5" s="103">
        <v>46023</v>
      </c>
      <c r="F5" s="103">
        <v>46387</v>
      </c>
      <c r="G5" t="s">
        <v>337</v>
      </c>
      <c r="M5" s="103"/>
      <c r="N5" s="103"/>
    </row>
    <row r="6" spans="1:14" x14ac:dyDescent="0.3">
      <c r="E6" s="103"/>
      <c r="F6" s="103"/>
      <c r="M6" s="103"/>
      <c r="N6" s="103"/>
    </row>
    <row r="7" spans="1:14" x14ac:dyDescent="0.3">
      <c r="A7" s="104" t="s">
        <v>280</v>
      </c>
      <c r="B7" s="104" t="s">
        <v>284</v>
      </c>
      <c r="C7" s="104" t="s">
        <v>285</v>
      </c>
      <c r="D7" s="104" t="s">
        <v>304</v>
      </c>
      <c r="E7" s="104" t="s">
        <v>282</v>
      </c>
      <c r="F7" s="104" t="s">
        <v>283</v>
      </c>
      <c r="G7" s="104" t="s">
        <v>335</v>
      </c>
      <c r="M7" s="103"/>
      <c r="N7" s="103"/>
    </row>
    <row r="8" spans="1:14" x14ac:dyDescent="0.3">
      <c r="A8" t="s">
        <v>90</v>
      </c>
      <c r="B8" t="s">
        <v>294</v>
      </c>
      <c r="C8" t="s">
        <v>312</v>
      </c>
      <c r="D8" t="s">
        <v>69</v>
      </c>
      <c r="E8" s="103">
        <v>44713</v>
      </c>
      <c r="F8" s="103">
        <v>45077</v>
      </c>
      <c r="G8" t="s">
        <v>336</v>
      </c>
      <c r="M8" s="103"/>
      <c r="N8" s="103"/>
    </row>
    <row r="9" spans="1:14" x14ac:dyDescent="0.3">
      <c r="A9" t="s">
        <v>90</v>
      </c>
      <c r="B9" t="s">
        <v>313</v>
      </c>
      <c r="C9" t="s">
        <v>312</v>
      </c>
      <c r="D9" t="s">
        <v>69</v>
      </c>
      <c r="E9" s="103">
        <v>45093</v>
      </c>
      <c r="F9" s="103">
        <v>45458</v>
      </c>
      <c r="G9" t="s">
        <v>336</v>
      </c>
    </row>
    <row r="10" spans="1:14" x14ac:dyDescent="0.3">
      <c r="A10" t="s">
        <v>90</v>
      </c>
      <c r="B10" t="s">
        <v>314</v>
      </c>
      <c r="C10" t="s">
        <v>312</v>
      </c>
      <c r="D10" t="s">
        <v>69</v>
      </c>
      <c r="E10" s="103">
        <v>45520</v>
      </c>
      <c r="F10" s="103">
        <v>45884</v>
      </c>
      <c r="G10" t="s">
        <v>336</v>
      </c>
      <c r="M10" s="103"/>
      <c r="N10" s="103"/>
    </row>
    <row r="11" spans="1:14" x14ac:dyDescent="0.3">
      <c r="A11" t="s">
        <v>90</v>
      </c>
      <c r="B11" t="s">
        <v>315</v>
      </c>
      <c r="C11" t="s">
        <v>312</v>
      </c>
      <c r="D11" t="s">
        <v>69</v>
      </c>
      <c r="E11" s="103">
        <v>46023</v>
      </c>
      <c r="F11" s="103">
        <v>46387</v>
      </c>
      <c r="G11" t="s">
        <v>337</v>
      </c>
    </row>
    <row r="12" spans="1:14" x14ac:dyDescent="0.3">
      <c r="E12" s="103"/>
      <c r="F12" s="103"/>
    </row>
    <row r="13" spans="1:14" x14ac:dyDescent="0.3">
      <c r="A13" s="104" t="s">
        <v>280</v>
      </c>
      <c r="B13" s="104" t="s">
        <v>284</v>
      </c>
      <c r="C13" s="104" t="s">
        <v>285</v>
      </c>
      <c r="D13" s="104" t="s">
        <v>304</v>
      </c>
      <c r="E13" s="104" t="s">
        <v>282</v>
      </c>
      <c r="F13" s="104" t="s">
        <v>283</v>
      </c>
      <c r="G13" s="104" t="s">
        <v>335</v>
      </c>
    </row>
    <row r="14" spans="1:14" x14ac:dyDescent="0.3">
      <c r="A14" t="s">
        <v>105</v>
      </c>
      <c r="B14" t="s">
        <v>316</v>
      </c>
      <c r="C14" t="s">
        <v>318</v>
      </c>
      <c r="D14" t="s">
        <v>69</v>
      </c>
      <c r="M14" s="103"/>
      <c r="N14" s="103"/>
    </row>
    <row r="15" spans="1:14" x14ac:dyDescent="0.3">
      <c r="A15" t="s">
        <v>105</v>
      </c>
      <c r="B15" t="s">
        <v>317</v>
      </c>
      <c r="C15" t="s">
        <v>319</v>
      </c>
      <c r="D15" t="s">
        <v>69</v>
      </c>
    </row>
    <row r="18" spans="1:7" x14ac:dyDescent="0.3">
      <c r="A18" t="s">
        <v>89</v>
      </c>
      <c r="B18" t="s">
        <v>295</v>
      </c>
    </row>
    <row r="19" spans="1:7" x14ac:dyDescent="0.3">
      <c r="A19" t="s">
        <v>88</v>
      </c>
      <c r="B19" t="s">
        <v>291</v>
      </c>
      <c r="C19" t="s">
        <v>309</v>
      </c>
    </row>
    <row r="20" spans="1:7" x14ac:dyDescent="0.3">
      <c r="A20" t="s">
        <v>88</v>
      </c>
      <c r="B20" t="s">
        <v>292</v>
      </c>
      <c r="C20" t="s">
        <v>308</v>
      </c>
    </row>
    <row r="21" spans="1:7" x14ac:dyDescent="0.3">
      <c r="A21" t="s">
        <v>86</v>
      </c>
      <c r="B21" t="s">
        <v>296</v>
      </c>
    </row>
    <row r="22" spans="1:7" x14ac:dyDescent="0.3">
      <c r="A22" t="s">
        <v>91</v>
      </c>
      <c r="B22" t="s">
        <v>297</v>
      </c>
    </row>
    <row r="23" spans="1:7" x14ac:dyDescent="0.3">
      <c r="A23" t="s">
        <v>87</v>
      </c>
      <c r="B23" t="s">
        <v>286</v>
      </c>
      <c r="C23" t="s">
        <v>306</v>
      </c>
      <c r="G23" t="s">
        <v>69</v>
      </c>
    </row>
    <row r="24" spans="1:7" x14ac:dyDescent="0.3">
      <c r="A24" t="s">
        <v>87</v>
      </c>
      <c r="B24" t="s">
        <v>287</v>
      </c>
      <c r="C24" t="s">
        <v>307</v>
      </c>
      <c r="G24" t="s">
        <v>288</v>
      </c>
    </row>
    <row r="25" spans="1:7" x14ac:dyDescent="0.3">
      <c r="A25" t="s">
        <v>289</v>
      </c>
      <c r="B25" t="s">
        <v>298</v>
      </c>
      <c r="G25" t="s">
        <v>288</v>
      </c>
    </row>
    <row r="26" spans="1:7" x14ac:dyDescent="0.3">
      <c r="A26" t="s">
        <v>281</v>
      </c>
      <c r="B26" t="s">
        <v>299</v>
      </c>
      <c r="G26" t="s">
        <v>261</v>
      </c>
    </row>
    <row r="27" spans="1:7" x14ac:dyDescent="0.3">
      <c r="A27" t="s">
        <v>290</v>
      </c>
      <c r="B27" t="s">
        <v>300</v>
      </c>
    </row>
  </sheetData>
  <phoneticPr fontId="3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EXAMPLE Multi Project Dashboard</vt:lpstr>
      <vt:lpstr>– Disclaimer –</vt:lpstr>
      <vt:lpstr>Ticket Issue Client Dashboard</vt:lpstr>
      <vt:lpstr>Client</vt:lpstr>
      <vt:lpstr>Client Project</vt:lpstr>
      <vt:lpstr>ENHANCEMENT LKTN MILESTONE</vt:lpstr>
      <vt:lpstr>MYOT MARA MILESTONE</vt:lpstr>
      <vt:lpstr>SAGA YIK DEV MILESTONE</vt:lpstr>
      <vt:lpstr>SAGA YIK DEV TASK DETAIL</vt:lpstr>
      <vt:lpstr>KUIPS Warranty</vt:lpstr>
      <vt:lpstr>YIPS</vt:lpstr>
      <vt:lpstr>Contract Period</vt:lpstr>
      <vt:lpstr>'EXAMPLE Multi Project Dashboard'!Print_Area</vt:lpstr>
      <vt:lpstr>'Ticket Issue Client 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Lenovo</cp:lastModifiedBy>
  <cp:lastPrinted>2026-07-08T03:51:29Z</cp:lastPrinted>
  <dcterms:created xsi:type="dcterms:W3CDTF">2016-03-21T16:06:55Z</dcterms:created>
  <dcterms:modified xsi:type="dcterms:W3CDTF">2026-09-28T08:20:57Z</dcterms:modified>
</cp:coreProperties>
</file>